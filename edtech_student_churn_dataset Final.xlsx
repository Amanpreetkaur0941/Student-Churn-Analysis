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hwani Kumar\Desktop\Student Churn Analysis Project\"/>
    </mc:Choice>
  </mc:AlternateContent>
  <xr:revisionPtr revIDLastSave="0" documentId="13_ncr:1_{FD56A767-7588-4AE3-940C-793758736873}" xr6:coauthVersionLast="47" xr6:coauthVersionMax="47" xr10:uidLastSave="{00000000-0000-0000-0000-000000000000}"/>
  <bookViews>
    <workbookView xWindow="-108" yWindow="-108" windowWidth="23256" windowHeight="12456" activeTab="5" xr2:uid="{F9556AF8-C72D-414E-B87D-191F51C0F3A6}"/>
  </bookViews>
  <sheets>
    <sheet name="Raw_data" sheetId="1" r:id="rId1"/>
    <sheet name="Clean_data" sheetId="2" r:id="rId2"/>
    <sheet name="Analysis" sheetId="3" r:id="rId3"/>
    <sheet name="Pivot_sheet " sheetId="14" r:id="rId4"/>
    <sheet name="Dashboard" sheetId="6" r:id="rId5"/>
    <sheet name="Insights &amp; Strategy" sheetId="15" r:id="rId6"/>
  </sheets>
  <definedNames>
    <definedName name="_xlnm.Print_Area" localSheetId="4">Dashboard!$A$1:$W$27</definedName>
    <definedName name="Slicer_Course_categor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 l="1"/>
  <c r="E13" i="3"/>
  <c r="D13" i="3"/>
  <c r="C13" i="3"/>
  <c r="B13" i="3"/>
  <c r="G12" i="3"/>
  <c r="F12" i="3"/>
  <c r="E12" i="3"/>
  <c r="D12" i="3"/>
  <c r="C12" i="3"/>
  <c r="B12" i="3"/>
  <c r="G11" i="3"/>
  <c r="F11" i="3"/>
  <c r="E11" i="3"/>
  <c r="D11" i="3"/>
  <c r="C11" i="3"/>
  <c r="B11" i="3"/>
  <c r="G10" i="3"/>
  <c r="F10" i="3"/>
  <c r="E10" i="3"/>
  <c r="D10" i="3"/>
  <c r="C10" i="3"/>
  <c r="B10" i="3"/>
  <c r="G9" i="3"/>
  <c r="F9" i="3"/>
  <c r="E9" i="3"/>
  <c r="D9" i="3"/>
  <c r="C9" i="3"/>
  <c r="B9" i="3"/>
  <c r="B3" i="3"/>
  <c r="T151" i="2"/>
  <c r="S151" i="2"/>
  <c r="R151" i="2"/>
  <c r="Q151" i="2"/>
  <c r="P151" i="2"/>
  <c r="O151" i="2"/>
  <c r="N151" i="2"/>
  <c r="M151" i="2"/>
  <c r="L151" i="2"/>
  <c r="K151" i="2"/>
  <c r="J151" i="2"/>
  <c r="I151" i="2"/>
  <c r="H151" i="2"/>
  <c r="G151" i="2"/>
  <c r="F151" i="2"/>
  <c r="E151" i="2"/>
  <c r="D151" i="2"/>
  <c r="C151" i="2"/>
  <c r="B151" i="2"/>
  <c r="T150" i="2"/>
  <c r="S150" i="2"/>
  <c r="R150" i="2"/>
  <c r="Q150" i="2"/>
  <c r="P150" i="2"/>
  <c r="O150" i="2"/>
  <c r="N150" i="2"/>
  <c r="M150" i="2"/>
  <c r="L150" i="2"/>
  <c r="K150" i="2"/>
  <c r="J150" i="2"/>
  <c r="I150" i="2"/>
  <c r="H150" i="2"/>
  <c r="G150" i="2"/>
  <c r="F150" i="2"/>
  <c r="E150" i="2"/>
  <c r="D150" i="2"/>
  <c r="C150" i="2"/>
  <c r="B150" i="2"/>
  <c r="T149" i="2"/>
  <c r="S149" i="2"/>
  <c r="R149" i="2"/>
  <c r="Q149" i="2"/>
  <c r="P149" i="2"/>
  <c r="O149" i="2"/>
  <c r="N149" i="2"/>
  <c r="M149" i="2"/>
  <c r="L149" i="2"/>
  <c r="K149" i="2"/>
  <c r="J149" i="2"/>
  <c r="I149" i="2"/>
  <c r="H149" i="2"/>
  <c r="G149" i="2"/>
  <c r="F149" i="2"/>
  <c r="E149" i="2"/>
  <c r="D149" i="2"/>
  <c r="C149" i="2"/>
  <c r="B149" i="2"/>
  <c r="T148" i="2"/>
  <c r="S148" i="2"/>
  <c r="R148" i="2"/>
  <c r="Q148" i="2"/>
  <c r="P148" i="2"/>
  <c r="O148" i="2"/>
  <c r="N148" i="2"/>
  <c r="M148" i="2"/>
  <c r="L148" i="2"/>
  <c r="K148" i="2"/>
  <c r="J148" i="2"/>
  <c r="I148" i="2"/>
  <c r="H148" i="2"/>
  <c r="G148" i="2"/>
  <c r="F148" i="2"/>
  <c r="E148" i="2"/>
  <c r="D148" i="2"/>
  <c r="C148" i="2"/>
  <c r="B148" i="2"/>
  <c r="T147" i="2"/>
  <c r="S147" i="2"/>
  <c r="R147" i="2"/>
  <c r="Q147" i="2"/>
  <c r="P147" i="2"/>
  <c r="O147" i="2"/>
  <c r="N147" i="2"/>
  <c r="M147" i="2"/>
  <c r="L147" i="2"/>
  <c r="K147" i="2"/>
  <c r="J147" i="2"/>
  <c r="I147" i="2"/>
  <c r="H147" i="2"/>
  <c r="G147" i="2"/>
  <c r="F147" i="2"/>
  <c r="E147" i="2"/>
  <c r="D147" i="2"/>
  <c r="C147" i="2"/>
  <c r="B147" i="2"/>
  <c r="T146" i="2"/>
  <c r="S146" i="2"/>
  <c r="R146" i="2"/>
  <c r="Q146" i="2"/>
  <c r="P146" i="2"/>
  <c r="O146" i="2"/>
  <c r="N146" i="2"/>
  <c r="M146" i="2"/>
  <c r="L146" i="2"/>
  <c r="K146" i="2"/>
  <c r="J146" i="2"/>
  <c r="I146" i="2"/>
  <c r="H146" i="2"/>
  <c r="G146" i="2"/>
  <c r="F146" i="2"/>
  <c r="E146" i="2"/>
  <c r="D146" i="2"/>
  <c r="C146" i="2"/>
  <c r="B146" i="2"/>
  <c r="T145" i="2"/>
  <c r="S145" i="2"/>
  <c r="R145" i="2"/>
  <c r="Q145" i="2"/>
  <c r="P145" i="2"/>
  <c r="O145" i="2"/>
  <c r="N145" i="2"/>
  <c r="M145" i="2"/>
  <c r="L145" i="2"/>
  <c r="K145" i="2"/>
  <c r="J145" i="2"/>
  <c r="I145" i="2"/>
  <c r="H145" i="2"/>
  <c r="G145" i="2"/>
  <c r="F145" i="2"/>
  <c r="E145" i="2"/>
  <c r="D145" i="2"/>
  <c r="C145" i="2"/>
  <c r="B145" i="2"/>
  <c r="T144" i="2"/>
  <c r="S144" i="2"/>
  <c r="R144" i="2"/>
  <c r="Q144" i="2"/>
  <c r="P144" i="2"/>
  <c r="O144" i="2"/>
  <c r="N144" i="2"/>
  <c r="M144" i="2"/>
  <c r="L144" i="2"/>
  <c r="K144" i="2"/>
  <c r="J144" i="2"/>
  <c r="I144" i="2"/>
  <c r="H144" i="2"/>
  <c r="G144" i="2"/>
  <c r="F144" i="2"/>
  <c r="E144" i="2"/>
  <c r="D144" i="2"/>
  <c r="C144" i="2"/>
  <c r="B144" i="2"/>
  <c r="T143" i="2"/>
  <c r="S143" i="2"/>
  <c r="R143" i="2"/>
  <c r="Q143" i="2"/>
  <c r="P143" i="2"/>
  <c r="O143" i="2"/>
  <c r="N143" i="2"/>
  <c r="M143" i="2"/>
  <c r="L143" i="2"/>
  <c r="K143" i="2"/>
  <c r="J143" i="2"/>
  <c r="I143" i="2"/>
  <c r="H143" i="2"/>
  <c r="G143" i="2"/>
  <c r="F143" i="2"/>
  <c r="E143" i="2"/>
  <c r="D143" i="2"/>
  <c r="C143" i="2"/>
  <c r="B143" i="2"/>
  <c r="T142" i="2"/>
  <c r="S142" i="2"/>
  <c r="R142" i="2"/>
  <c r="Q142" i="2"/>
  <c r="P142" i="2"/>
  <c r="O142" i="2"/>
  <c r="N142" i="2"/>
  <c r="M142" i="2"/>
  <c r="L142" i="2"/>
  <c r="K142" i="2"/>
  <c r="J142" i="2"/>
  <c r="I142" i="2"/>
  <c r="H142" i="2"/>
  <c r="G142" i="2"/>
  <c r="F142" i="2"/>
  <c r="E142" i="2"/>
  <c r="D142" i="2"/>
  <c r="C142" i="2"/>
  <c r="B142" i="2"/>
  <c r="T141" i="2"/>
  <c r="S141" i="2"/>
  <c r="R141" i="2"/>
  <c r="Q141" i="2"/>
  <c r="P141" i="2"/>
  <c r="O141" i="2"/>
  <c r="N141" i="2"/>
  <c r="M141" i="2"/>
  <c r="L141" i="2"/>
  <c r="K141" i="2"/>
  <c r="J141" i="2"/>
  <c r="I141" i="2"/>
  <c r="H141" i="2"/>
  <c r="G141" i="2"/>
  <c r="F141" i="2"/>
  <c r="E141" i="2"/>
  <c r="D141" i="2"/>
  <c r="C141" i="2"/>
  <c r="B141" i="2"/>
  <c r="T140" i="2"/>
  <c r="S140" i="2"/>
  <c r="R140" i="2"/>
  <c r="Q140" i="2"/>
  <c r="P140" i="2"/>
  <c r="O140" i="2"/>
  <c r="N140" i="2"/>
  <c r="M140" i="2"/>
  <c r="L140" i="2"/>
  <c r="K140" i="2"/>
  <c r="J140" i="2"/>
  <c r="I140" i="2"/>
  <c r="H140" i="2"/>
  <c r="G140" i="2"/>
  <c r="F140" i="2"/>
  <c r="E140" i="2"/>
  <c r="D140" i="2"/>
  <c r="C140" i="2"/>
  <c r="B140" i="2"/>
  <c r="T139" i="2"/>
  <c r="S139" i="2"/>
  <c r="R139" i="2"/>
  <c r="Q139" i="2"/>
  <c r="P139" i="2"/>
  <c r="O139" i="2"/>
  <c r="N139" i="2"/>
  <c r="M139" i="2"/>
  <c r="L139" i="2"/>
  <c r="K139" i="2"/>
  <c r="J139" i="2"/>
  <c r="I139" i="2"/>
  <c r="H139" i="2"/>
  <c r="G139" i="2"/>
  <c r="F139" i="2"/>
  <c r="E139" i="2"/>
  <c r="D139" i="2"/>
  <c r="C139" i="2"/>
  <c r="B139" i="2"/>
  <c r="T138" i="2"/>
  <c r="S138" i="2"/>
  <c r="R138" i="2"/>
  <c r="Q138" i="2"/>
  <c r="P138" i="2"/>
  <c r="O138" i="2"/>
  <c r="N138" i="2"/>
  <c r="M138" i="2"/>
  <c r="L138" i="2"/>
  <c r="K138" i="2"/>
  <c r="J138" i="2"/>
  <c r="I138" i="2"/>
  <c r="H138" i="2"/>
  <c r="G138" i="2"/>
  <c r="F138" i="2"/>
  <c r="E138" i="2"/>
  <c r="D138" i="2"/>
  <c r="C138" i="2"/>
  <c r="B138" i="2"/>
  <c r="T137" i="2"/>
  <c r="S137" i="2"/>
  <c r="R137" i="2"/>
  <c r="Q137" i="2"/>
  <c r="P137" i="2"/>
  <c r="O137" i="2"/>
  <c r="N137" i="2"/>
  <c r="M137" i="2"/>
  <c r="L137" i="2"/>
  <c r="K137" i="2"/>
  <c r="J137" i="2"/>
  <c r="I137" i="2"/>
  <c r="H137" i="2"/>
  <c r="G137" i="2"/>
  <c r="F137" i="2"/>
  <c r="E137" i="2"/>
  <c r="D137" i="2"/>
  <c r="C137" i="2"/>
  <c r="B137" i="2"/>
  <c r="T136" i="2"/>
  <c r="S136" i="2"/>
  <c r="R136" i="2"/>
  <c r="Q136" i="2"/>
  <c r="P136" i="2"/>
  <c r="O136" i="2"/>
  <c r="N136" i="2"/>
  <c r="M136" i="2"/>
  <c r="L136" i="2"/>
  <c r="K136" i="2"/>
  <c r="J136" i="2"/>
  <c r="I136" i="2"/>
  <c r="H136" i="2"/>
  <c r="G136" i="2"/>
  <c r="F136" i="2"/>
  <c r="E136" i="2"/>
  <c r="D136" i="2"/>
  <c r="C136" i="2"/>
  <c r="B136" i="2"/>
  <c r="T135" i="2"/>
  <c r="S135" i="2"/>
  <c r="R135" i="2"/>
  <c r="Q135" i="2"/>
  <c r="P135" i="2"/>
  <c r="O135" i="2"/>
  <c r="N135" i="2"/>
  <c r="M135" i="2"/>
  <c r="L135" i="2"/>
  <c r="K135" i="2"/>
  <c r="J135" i="2"/>
  <c r="I135" i="2"/>
  <c r="H135" i="2"/>
  <c r="G135" i="2"/>
  <c r="F135" i="2"/>
  <c r="E135" i="2"/>
  <c r="D135" i="2"/>
  <c r="C135" i="2"/>
  <c r="B135" i="2"/>
  <c r="T134" i="2"/>
  <c r="S134" i="2"/>
  <c r="R134" i="2"/>
  <c r="Q134" i="2"/>
  <c r="P134" i="2"/>
  <c r="O134" i="2"/>
  <c r="N134" i="2"/>
  <c r="M134" i="2"/>
  <c r="L134" i="2"/>
  <c r="K134" i="2"/>
  <c r="J134" i="2"/>
  <c r="I134" i="2"/>
  <c r="H134" i="2"/>
  <c r="G134" i="2"/>
  <c r="F134" i="2"/>
  <c r="E134" i="2"/>
  <c r="D134" i="2"/>
  <c r="C134" i="2"/>
  <c r="B134" i="2"/>
  <c r="T133" i="2"/>
  <c r="S133" i="2"/>
  <c r="R133" i="2"/>
  <c r="Q133" i="2"/>
  <c r="P133" i="2"/>
  <c r="O133" i="2"/>
  <c r="N133" i="2"/>
  <c r="M133" i="2"/>
  <c r="L133" i="2"/>
  <c r="K133" i="2"/>
  <c r="J133" i="2"/>
  <c r="I133" i="2"/>
  <c r="H133" i="2"/>
  <c r="G133" i="2"/>
  <c r="F133" i="2"/>
  <c r="E133" i="2"/>
  <c r="D133" i="2"/>
  <c r="C133" i="2"/>
  <c r="B133" i="2"/>
  <c r="T132" i="2"/>
  <c r="S132" i="2"/>
  <c r="R132" i="2"/>
  <c r="Q132" i="2"/>
  <c r="P132" i="2"/>
  <c r="O132" i="2"/>
  <c r="N132" i="2"/>
  <c r="M132" i="2"/>
  <c r="L132" i="2"/>
  <c r="K132" i="2"/>
  <c r="J132" i="2"/>
  <c r="I132" i="2"/>
  <c r="H132" i="2"/>
  <c r="G132" i="2"/>
  <c r="F132" i="2"/>
  <c r="E132" i="2"/>
  <c r="D132" i="2"/>
  <c r="C132" i="2"/>
  <c r="B132" i="2"/>
  <c r="T131" i="2"/>
  <c r="S131" i="2"/>
  <c r="R131" i="2"/>
  <c r="Q131" i="2"/>
  <c r="P131" i="2"/>
  <c r="O131" i="2"/>
  <c r="N131" i="2"/>
  <c r="M131" i="2"/>
  <c r="L131" i="2"/>
  <c r="K131" i="2"/>
  <c r="J131" i="2"/>
  <c r="I131" i="2"/>
  <c r="H131" i="2"/>
  <c r="G131" i="2"/>
  <c r="F131" i="2"/>
  <c r="E131" i="2"/>
  <c r="D131" i="2"/>
  <c r="C131" i="2"/>
  <c r="B131" i="2"/>
  <c r="T130" i="2"/>
  <c r="S130" i="2"/>
  <c r="R130" i="2"/>
  <c r="Q130" i="2"/>
  <c r="P130" i="2"/>
  <c r="O130" i="2"/>
  <c r="N130" i="2"/>
  <c r="M130" i="2"/>
  <c r="L130" i="2"/>
  <c r="K130" i="2"/>
  <c r="J130" i="2"/>
  <c r="I130" i="2"/>
  <c r="H130" i="2"/>
  <c r="G130" i="2"/>
  <c r="F130" i="2"/>
  <c r="E130" i="2"/>
  <c r="D130" i="2"/>
  <c r="C130" i="2"/>
  <c r="B130" i="2"/>
  <c r="T129" i="2"/>
  <c r="S129" i="2"/>
  <c r="R129" i="2"/>
  <c r="Q129" i="2"/>
  <c r="P129" i="2"/>
  <c r="O129" i="2"/>
  <c r="N129" i="2"/>
  <c r="M129" i="2"/>
  <c r="L129" i="2"/>
  <c r="K129" i="2"/>
  <c r="J129" i="2"/>
  <c r="I129" i="2"/>
  <c r="H129" i="2"/>
  <c r="G129" i="2"/>
  <c r="F129" i="2"/>
  <c r="E129" i="2"/>
  <c r="D129" i="2"/>
  <c r="C129" i="2"/>
  <c r="B129" i="2"/>
  <c r="T128" i="2"/>
  <c r="S128" i="2"/>
  <c r="R128" i="2"/>
  <c r="Q128" i="2"/>
  <c r="P128" i="2"/>
  <c r="O128" i="2"/>
  <c r="N128" i="2"/>
  <c r="M128" i="2"/>
  <c r="L128" i="2"/>
  <c r="K128" i="2"/>
  <c r="J128" i="2"/>
  <c r="I128" i="2"/>
  <c r="H128" i="2"/>
  <c r="G128" i="2"/>
  <c r="F128" i="2"/>
  <c r="E128" i="2"/>
  <c r="D128" i="2"/>
  <c r="C128" i="2"/>
  <c r="B128" i="2"/>
  <c r="T127" i="2"/>
  <c r="S127" i="2"/>
  <c r="R127" i="2"/>
  <c r="Q127" i="2"/>
  <c r="P127" i="2"/>
  <c r="O127" i="2"/>
  <c r="N127" i="2"/>
  <c r="M127" i="2"/>
  <c r="L127" i="2"/>
  <c r="K127" i="2"/>
  <c r="J127" i="2"/>
  <c r="I127" i="2"/>
  <c r="H127" i="2"/>
  <c r="G127" i="2"/>
  <c r="F127" i="2"/>
  <c r="E127" i="2"/>
  <c r="D127" i="2"/>
  <c r="C127" i="2"/>
  <c r="B127" i="2"/>
  <c r="T126" i="2"/>
  <c r="S126" i="2"/>
  <c r="R126" i="2"/>
  <c r="Q126" i="2"/>
  <c r="P126" i="2"/>
  <c r="O126" i="2"/>
  <c r="N126" i="2"/>
  <c r="M126" i="2"/>
  <c r="L126" i="2"/>
  <c r="K126" i="2"/>
  <c r="J126" i="2"/>
  <c r="I126" i="2"/>
  <c r="H126" i="2"/>
  <c r="G126" i="2"/>
  <c r="F126" i="2"/>
  <c r="E126" i="2"/>
  <c r="D126" i="2"/>
  <c r="C126" i="2"/>
  <c r="B126" i="2"/>
  <c r="T125" i="2"/>
  <c r="S125" i="2"/>
  <c r="R125" i="2"/>
  <c r="Q125" i="2"/>
  <c r="P125" i="2"/>
  <c r="O125" i="2"/>
  <c r="N125" i="2"/>
  <c r="M125" i="2"/>
  <c r="L125" i="2"/>
  <c r="K125" i="2"/>
  <c r="J125" i="2"/>
  <c r="I125" i="2"/>
  <c r="H125" i="2"/>
  <c r="G125" i="2"/>
  <c r="F125" i="2"/>
  <c r="E125" i="2"/>
  <c r="D125" i="2"/>
  <c r="C125" i="2"/>
  <c r="B125" i="2"/>
  <c r="T124" i="2"/>
  <c r="S124" i="2"/>
  <c r="R124" i="2"/>
  <c r="Q124" i="2"/>
  <c r="P124" i="2"/>
  <c r="O124" i="2"/>
  <c r="N124" i="2"/>
  <c r="M124" i="2"/>
  <c r="L124" i="2"/>
  <c r="K124" i="2"/>
  <c r="J124" i="2"/>
  <c r="I124" i="2"/>
  <c r="H124" i="2"/>
  <c r="G124" i="2"/>
  <c r="F124" i="2"/>
  <c r="E124" i="2"/>
  <c r="D124" i="2"/>
  <c r="C124" i="2"/>
  <c r="B124" i="2"/>
  <c r="T123" i="2"/>
  <c r="S123" i="2"/>
  <c r="R123" i="2"/>
  <c r="Q123" i="2"/>
  <c r="P123" i="2"/>
  <c r="O123" i="2"/>
  <c r="N123" i="2"/>
  <c r="M123" i="2"/>
  <c r="L123" i="2"/>
  <c r="K123" i="2"/>
  <c r="J123" i="2"/>
  <c r="I123" i="2"/>
  <c r="H123" i="2"/>
  <c r="G123" i="2"/>
  <c r="F123" i="2"/>
  <c r="E123" i="2"/>
  <c r="D123" i="2"/>
  <c r="C123" i="2"/>
  <c r="B123" i="2"/>
  <c r="T122" i="2"/>
  <c r="S122" i="2"/>
  <c r="R122" i="2"/>
  <c r="Q122" i="2"/>
  <c r="P122" i="2"/>
  <c r="O122" i="2"/>
  <c r="N122" i="2"/>
  <c r="M122" i="2"/>
  <c r="L122" i="2"/>
  <c r="K122" i="2"/>
  <c r="J122" i="2"/>
  <c r="I122" i="2"/>
  <c r="H122" i="2"/>
  <c r="G122" i="2"/>
  <c r="F122" i="2"/>
  <c r="E122" i="2"/>
  <c r="D122" i="2"/>
  <c r="C122" i="2"/>
  <c r="B122" i="2"/>
  <c r="T121" i="2"/>
  <c r="S121" i="2"/>
  <c r="R121" i="2"/>
  <c r="Q121" i="2"/>
  <c r="P121" i="2"/>
  <c r="O121" i="2"/>
  <c r="N121" i="2"/>
  <c r="M121" i="2"/>
  <c r="L121" i="2"/>
  <c r="K121" i="2"/>
  <c r="J121" i="2"/>
  <c r="I121" i="2"/>
  <c r="H121" i="2"/>
  <c r="G121" i="2"/>
  <c r="F121" i="2"/>
  <c r="E121" i="2"/>
  <c r="D121" i="2"/>
  <c r="C121" i="2"/>
  <c r="B121" i="2"/>
  <c r="T120" i="2"/>
  <c r="S120" i="2"/>
  <c r="R120" i="2"/>
  <c r="Q120" i="2"/>
  <c r="P120" i="2"/>
  <c r="O120" i="2"/>
  <c r="N120" i="2"/>
  <c r="M120" i="2"/>
  <c r="L120" i="2"/>
  <c r="K120" i="2"/>
  <c r="J120" i="2"/>
  <c r="I120" i="2"/>
  <c r="H120" i="2"/>
  <c r="G120" i="2"/>
  <c r="F120" i="2"/>
  <c r="E120" i="2"/>
  <c r="D120" i="2"/>
  <c r="C120" i="2"/>
  <c r="B120" i="2"/>
  <c r="T119" i="2"/>
  <c r="S119" i="2"/>
  <c r="R119" i="2"/>
  <c r="Q119" i="2"/>
  <c r="P119" i="2"/>
  <c r="O119" i="2"/>
  <c r="N119" i="2"/>
  <c r="M119" i="2"/>
  <c r="L119" i="2"/>
  <c r="K119" i="2"/>
  <c r="J119" i="2"/>
  <c r="I119" i="2"/>
  <c r="H119" i="2"/>
  <c r="G119" i="2"/>
  <c r="F119" i="2"/>
  <c r="E119" i="2"/>
  <c r="D119" i="2"/>
  <c r="C119" i="2"/>
  <c r="B119" i="2"/>
  <c r="T118" i="2"/>
  <c r="S118" i="2"/>
  <c r="R118" i="2"/>
  <c r="Q118" i="2"/>
  <c r="P118" i="2"/>
  <c r="O118" i="2"/>
  <c r="N118" i="2"/>
  <c r="M118" i="2"/>
  <c r="L118" i="2"/>
  <c r="K118" i="2"/>
  <c r="J118" i="2"/>
  <c r="I118" i="2"/>
  <c r="H118" i="2"/>
  <c r="G118" i="2"/>
  <c r="F118" i="2"/>
  <c r="E118" i="2"/>
  <c r="D118" i="2"/>
  <c r="C118" i="2"/>
  <c r="B118" i="2"/>
  <c r="T117" i="2"/>
  <c r="S117" i="2"/>
  <c r="R117" i="2"/>
  <c r="Q117" i="2"/>
  <c r="P117" i="2"/>
  <c r="O117" i="2"/>
  <c r="N117" i="2"/>
  <c r="M117" i="2"/>
  <c r="L117" i="2"/>
  <c r="K117" i="2"/>
  <c r="J117" i="2"/>
  <c r="I117" i="2"/>
  <c r="H117" i="2"/>
  <c r="G117" i="2"/>
  <c r="F117" i="2"/>
  <c r="E117" i="2"/>
  <c r="D117" i="2"/>
  <c r="C117" i="2"/>
  <c r="B117" i="2"/>
  <c r="T116" i="2"/>
  <c r="S116" i="2"/>
  <c r="R116" i="2"/>
  <c r="Q116" i="2"/>
  <c r="P116" i="2"/>
  <c r="O116" i="2"/>
  <c r="N116" i="2"/>
  <c r="M116" i="2"/>
  <c r="L116" i="2"/>
  <c r="K116" i="2"/>
  <c r="J116" i="2"/>
  <c r="I116" i="2"/>
  <c r="H116" i="2"/>
  <c r="G116" i="2"/>
  <c r="F116" i="2"/>
  <c r="E116" i="2"/>
  <c r="D116" i="2"/>
  <c r="C116" i="2"/>
  <c r="B116" i="2"/>
  <c r="T115" i="2"/>
  <c r="S115" i="2"/>
  <c r="R115" i="2"/>
  <c r="Q115" i="2"/>
  <c r="P115" i="2"/>
  <c r="O115" i="2"/>
  <c r="N115" i="2"/>
  <c r="M115" i="2"/>
  <c r="L115" i="2"/>
  <c r="K115" i="2"/>
  <c r="J115" i="2"/>
  <c r="I115" i="2"/>
  <c r="H115" i="2"/>
  <c r="G115" i="2"/>
  <c r="F115" i="2"/>
  <c r="E115" i="2"/>
  <c r="D115" i="2"/>
  <c r="C115" i="2"/>
  <c r="B115" i="2"/>
  <c r="T114" i="2"/>
  <c r="S114" i="2"/>
  <c r="R114" i="2"/>
  <c r="Q114" i="2"/>
  <c r="P114" i="2"/>
  <c r="O114" i="2"/>
  <c r="N114" i="2"/>
  <c r="M114" i="2"/>
  <c r="L114" i="2"/>
  <c r="K114" i="2"/>
  <c r="J114" i="2"/>
  <c r="I114" i="2"/>
  <c r="H114" i="2"/>
  <c r="G114" i="2"/>
  <c r="F114" i="2"/>
  <c r="E114" i="2"/>
  <c r="D114" i="2"/>
  <c r="C114" i="2"/>
  <c r="B114" i="2"/>
  <c r="T113" i="2"/>
  <c r="S113" i="2"/>
  <c r="R113" i="2"/>
  <c r="Q113" i="2"/>
  <c r="P113" i="2"/>
  <c r="O113" i="2"/>
  <c r="N113" i="2"/>
  <c r="M113" i="2"/>
  <c r="L113" i="2"/>
  <c r="K113" i="2"/>
  <c r="J113" i="2"/>
  <c r="I113" i="2"/>
  <c r="H113" i="2"/>
  <c r="G113" i="2"/>
  <c r="F113" i="2"/>
  <c r="E113" i="2"/>
  <c r="D113" i="2"/>
  <c r="C113" i="2"/>
  <c r="B113" i="2"/>
  <c r="T112" i="2"/>
  <c r="S112" i="2"/>
  <c r="R112" i="2"/>
  <c r="Q112" i="2"/>
  <c r="P112" i="2"/>
  <c r="O112" i="2"/>
  <c r="N112" i="2"/>
  <c r="M112" i="2"/>
  <c r="L112" i="2"/>
  <c r="K112" i="2"/>
  <c r="J112" i="2"/>
  <c r="I112" i="2"/>
  <c r="H112" i="2"/>
  <c r="G112" i="2"/>
  <c r="F112" i="2"/>
  <c r="E112" i="2"/>
  <c r="D112" i="2"/>
  <c r="C112" i="2"/>
  <c r="B112" i="2"/>
  <c r="T111" i="2"/>
  <c r="S111" i="2"/>
  <c r="R111" i="2"/>
  <c r="Q111" i="2"/>
  <c r="P111" i="2"/>
  <c r="O111" i="2"/>
  <c r="N111" i="2"/>
  <c r="M111" i="2"/>
  <c r="L111" i="2"/>
  <c r="K111" i="2"/>
  <c r="J111" i="2"/>
  <c r="I111" i="2"/>
  <c r="H111" i="2"/>
  <c r="G111" i="2"/>
  <c r="F111" i="2"/>
  <c r="E111" i="2"/>
  <c r="D111" i="2"/>
  <c r="C111" i="2"/>
  <c r="B111" i="2"/>
  <c r="T110" i="2"/>
  <c r="S110" i="2"/>
  <c r="R110" i="2"/>
  <c r="Q110" i="2"/>
  <c r="P110" i="2"/>
  <c r="O110" i="2"/>
  <c r="N110" i="2"/>
  <c r="M110" i="2"/>
  <c r="L110" i="2"/>
  <c r="K110" i="2"/>
  <c r="J110" i="2"/>
  <c r="I110" i="2"/>
  <c r="H110" i="2"/>
  <c r="G110" i="2"/>
  <c r="F110" i="2"/>
  <c r="E110" i="2"/>
  <c r="D110" i="2"/>
  <c r="C110" i="2"/>
  <c r="B110" i="2"/>
  <c r="T109" i="2"/>
  <c r="S109" i="2"/>
  <c r="R109" i="2"/>
  <c r="Q109" i="2"/>
  <c r="P109" i="2"/>
  <c r="O109" i="2"/>
  <c r="N109" i="2"/>
  <c r="M109" i="2"/>
  <c r="L109" i="2"/>
  <c r="K109" i="2"/>
  <c r="J109" i="2"/>
  <c r="I109" i="2"/>
  <c r="H109" i="2"/>
  <c r="G109" i="2"/>
  <c r="F109" i="2"/>
  <c r="E109" i="2"/>
  <c r="D109" i="2"/>
  <c r="C109" i="2"/>
  <c r="B109" i="2"/>
  <c r="T108" i="2"/>
  <c r="S108" i="2"/>
  <c r="R108" i="2"/>
  <c r="Q108" i="2"/>
  <c r="P108" i="2"/>
  <c r="O108" i="2"/>
  <c r="N108" i="2"/>
  <c r="M108" i="2"/>
  <c r="L108" i="2"/>
  <c r="K108" i="2"/>
  <c r="J108" i="2"/>
  <c r="I108" i="2"/>
  <c r="H108" i="2"/>
  <c r="G108" i="2"/>
  <c r="F108" i="2"/>
  <c r="E108" i="2"/>
  <c r="D108" i="2"/>
  <c r="C108" i="2"/>
  <c r="B108" i="2"/>
  <c r="T107" i="2"/>
  <c r="S107" i="2"/>
  <c r="R107" i="2"/>
  <c r="Q107" i="2"/>
  <c r="P107" i="2"/>
  <c r="O107" i="2"/>
  <c r="N107" i="2"/>
  <c r="M107" i="2"/>
  <c r="L107" i="2"/>
  <c r="K107" i="2"/>
  <c r="J107" i="2"/>
  <c r="I107" i="2"/>
  <c r="H107" i="2"/>
  <c r="G107" i="2"/>
  <c r="F107" i="2"/>
  <c r="E107" i="2"/>
  <c r="D107" i="2"/>
  <c r="C107" i="2"/>
  <c r="B107" i="2"/>
  <c r="T106" i="2"/>
  <c r="S106" i="2"/>
  <c r="R106" i="2"/>
  <c r="Q106" i="2"/>
  <c r="P106" i="2"/>
  <c r="O106" i="2"/>
  <c r="N106" i="2"/>
  <c r="M106" i="2"/>
  <c r="L106" i="2"/>
  <c r="K106" i="2"/>
  <c r="J106" i="2"/>
  <c r="I106" i="2"/>
  <c r="H106" i="2"/>
  <c r="G106" i="2"/>
  <c r="F106" i="2"/>
  <c r="E106" i="2"/>
  <c r="D106" i="2"/>
  <c r="C106" i="2"/>
  <c r="B106" i="2"/>
  <c r="T105" i="2"/>
  <c r="S105" i="2"/>
  <c r="R105" i="2"/>
  <c r="Q105" i="2"/>
  <c r="P105" i="2"/>
  <c r="O105" i="2"/>
  <c r="N105" i="2"/>
  <c r="M105" i="2"/>
  <c r="L105" i="2"/>
  <c r="K105" i="2"/>
  <c r="J105" i="2"/>
  <c r="I105" i="2"/>
  <c r="H105" i="2"/>
  <c r="G105" i="2"/>
  <c r="F105" i="2"/>
  <c r="E105" i="2"/>
  <c r="D105" i="2"/>
  <c r="C105" i="2"/>
  <c r="B105" i="2"/>
  <c r="T104" i="2"/>
  <c r="S104" i="2"/>
  <c r="R104" i="2"/>
  <c r="Q104" i="2"/>
  <c r="P104" i="2"/>
  <c r="O104" i="2"/>
  <c r="N104" i="2"/>
  <c r="M104" i="2"/>
  <c r="L104" i="2"/>
  <c r="K104" i="2"/>
  <c r="J104" i="2"/>
  <c r="I104" i="2"/>
  <c r="H104" i="2"/>
  <c r="G104" i="2"/>
  <c r="F104" i="2"/>
  <c r="E104" i="2"/>
  <c r="D104" i="2"/>
  <c r="C104" i="2"/>
  <c r="B104" i="2"/>
  <c r="T103" i="2"/>
  <c r="S103" i="2"/>
  <c r="R103" i="2"/>
  <c r="Q103" i="2"/>
  <c r="P103" i="2"/>
  <c r="O103" i="2"/>
  <c r="N103" i="2"/>
  <c r="M103" i="2"/>
  <c r="L103" i="2"/>
  <c r="K103" i="2"/>
  <c r="J103" i="2"/>
  <c r="I103" i="2"/>
  <c r="H103" i="2"/>
  <c r="G103" i="2"/>
  <c r="F103" i="2"/>
  <c r="E103" i="2"/>
  <c r="D103" i="2"/>
  <c r="C103" i="2"/>
  <c r="B103" i="2"/>
  <c r="T102" i="2"/>
  <c r="S102" i="2"/>
  <c r="R102" i="2"/>
  <c r="Q102" i="2"/>
  <c r="P102" i="2"/>
  <c r="O102" i="2"/>
  <c r="N102" i="2"/>
  <c r="M102" i="2"/>
  <c r="L102" i="2"/>
  <c r="K102" i="2"/>
  <c r="J102" i="2"/>
  <c r="I102" i="2"/>
  <c r="H102" i="2"/>
  <c r="G102" i="2"/>
  <c r="F102" i="2"/>
  <c r="E102" i="2"/>
  <c r="D102" i="2"/>
  <c r="C102" i="2"/>
  <c r="B102" i="2"/>
  <c r="T101" i="2"/>
  <c r="S101" i="2"/>
  <c r="R101" i="2"/>
  <c r="Q101" i="2"/>
  <c r="P101" i="2"/>
  <c r="O101" i="2"/>
  <c r="N101" i="2"/>
  <c r="M101" i="2"/>
  <c r="L101" i="2"/>
  <c r="K101" i="2"/>
  <c r="J101" i="2"/>
  <c r="I101" i="2"/>
  <c r="H101" i="2"/>
  <c r="G101" i="2"/>
  <c r="F101" i="2"/>
  <c r="E101" i="2"/>
  <c r="D101" i="2"/>
  <c r="C101" i="2"/>
  <c r="B101" i="2"/>
  <c r="T100" i="2"/>
  <c r="S100" i="2"/>
  <c r="R100" i="2"/>
  <c r="Q100" i="2"/>
  <c r="P100" i="2"/>
  <c r="O100" i="2"/>
  <c r="N100" i="2"/>
  <c r="M100" i="2"/>
  <c r="L100" i="2"/>
  <c r="K100" i="2"/>
  <c r="J100" i="2"/>
  <c r="I100" i="2"/>
  <c r="H100" i="2"/>
  <c r="G100" i="2"/>
  <c r="F100" i="2"/>
  <c r="E100" i="2"/>
  <c r="D100" i="2"/>
  <c r="C100" i="2"/>
  <c r="B100" i="2"/>
  <c r="T99" i="2"/>
  <c r="S99" i="2"/>
  <c r="R99" i="2"/>
  <c r="Q99" i="2"/>
  <c r="P99" i="2"/>
  <c r="O99" i="2"/>
  <c r="N99" i="2"/>
  <c r="M99" i="2"/>
  <c r="L99" i="2"/>
  <c r="K99" i="2"/>
  <c r="J99" i="2"/>
  <c r="I99" i="2"/>
  <c r="H99" i="2"/>
  <c r="G99" i="2"/>
  <c r="F99" i="2"/>
  <c r="E99" i="2"/>
  <c r="D99" i="2"/>
  <c r="C99" i="2"/>
  <c r="B99" i="2"/>
  <c r="T98" i="2"/>
  <c r="S98" i="2"/>
  <c r="R98" i="2"/>
  <c r="Q98" i="2"/>
  <c r="P98" i="2"/>
  <c r="O98" i="2"/>
  <c r="N98" i="2"/>
  <c r="M98" i="2"/>
  <c r="L98" i="2"/>
  <c r="K98" i="2"/>
  <c r="J98" i="2"/>
  <c r="I98" i="2"/>
  <c r="H98" i="2"/>
  <c r="G98" i="2"/>
  <c r="F98" i="2"/>
  <c r="E98" i="2"/>
  <c r="D98" i="2"/>
  <c r="C98" i="2"/>
  <c r="B98" i="2"/>
  <c r="T97" i="2"/>
  <c r="S97" i="2"/>
  <c r="R97" i="2"/>
  <c r="Q97" i="2"/>
  <c r="P97" i="2"/>
  <c r="O97" i="2"/>
  <c r="N97" i="2"/>
  <c r="M97" i="2"/>
  <c r="L97" i="2"/>
  <c r="K97" i="2"/>
  <c r="J97" i="2"/>
  <c r="I97" i="2"/>
  <c r="H97" i="2"/>
  <c r="G97" i="2"/>
  <c r="F97" i="2"/>
  <c r="E97" i="2"/>
  <c r="D97" i="2"/>
  <c r="C97" i="2"/>
  <c r="B97" i="2"/>
  <c r="T96" i="2"/>
  <c r="S96" i="2"/>
  <c r="R96" i="2"/>
  <c r="Q96" i="2"/>
  <c r="P96" i="2"/>
  <c r="O96" i="2"/>
  <c r="N96" i="2"/>
  <c r="M96" i="2"/>
  <c r="L96" i="2"/>
  <c r="K96" i="2"/>
  <c r="J96" i="2"/>
  <c r="I96" i="2"/>
  <c r="H96" i="2"/>
  <c r="G96" i="2"/>
  <c r="F96" i="2"/>
  <c r="E96" i="2"/>
  <c r="D96" i="2"/>
  <c r="C96" i="2"/>
  <c r="B96" i="2"/>
  <c r="T95" i="2"/>
  <c r="S95" i="2"/>
  <c r="R95" i="2"/>
  <c r="Q95" i="2"/>
  <c r="P95" i="2"/>
  <c r="O95" i="2"/>
  <c r="N95" i="2"/>
  <c r="M95" i="2"/>
  <c r="L95" i="2"/>
  <c r="K95" i="2"/>
  <c r="J95" i="2"/>
  <c r="I95" i="2"/>
  <c r="H95" i="2"/>
  <c r="G95" i="2"/>
  <c r="F95" i="2"/>
  <c r="E95" i="2"/>
  <c r="D95" i="2"/>
  <c r="C95" i="2"/>
  <c r="B95" i="2"/>
  <c r="T94" i="2"/>
  <c r="S94" i="2"/>
  <c r="R94" i="2"/>
  <c r="Q94" i="2"/>
  <c r="P94" i="2"/>
  <c r="O94" i="2"/>
  <c r="N94" i="2"/>
  <c r="M94" i="2"/>
  <c r="L94" i="2"/>
  <c r="K94" i="2"/>
  <c r="J94" i="2"/>
  <c r="I94" i="2"/>
  <c r="H94" i="2"/>
  <c r="G94" i="2"/>
  <c r="F94" i="2"/>
  <c r="E94" i="2"/>
  <c r="D94" i="2"/>
  <c r="C94" i="2"/>
  <c r="B94" i="2"/>
  <c r="T93" i="2"/>
  <c r="S93" i="2"/>
  <c r="R93" i="2"/>
  <c r="Q93" i="2"/>
  <c r="P93" i="2"/>
  <c r="O93" i="2"/>
  <c r="N93" i="2"/>
  <c r="M93" i="2"/>
  <c r="L93" i="2"/>
  <c r="K93" i="2"/>
  <c r="J93" i="2"/>
  <c r="I93" i="2"/>
  <c r="H93" i="2"/>
  <c r="G93" i="2"/>
  <c r="F93" i="2"/>
  <c r="E93" i="2"/>
  <c r="D93" i="2"/>
  <c r="C93" i="2"/>
  <c r="B93" i="2"/>
  <c r="T92" i="2"/>
  <c r="S92" i="2"/>
  <c r="R92" i="2"/>
  <c r="Q92" i="2"/>
  <c r="P92" i="2"/>
  <c r="O92" i="2"/>
  <c r="N92" i="2"/>
  <c r="M92" i="2"/>
  <c r="L92" i="2"/>
  <c r="K92" i="2"/>
  <c r="J92" i="2"/>
  <c r="I92" i="2"/>
  <c r="H92" i="2"/>
  <c r="G92" i="2"/>
  <c r="F92" i="2"/>
  <c r="E92" i="2"/>
  <c r="D92" i="2"/>
  <c r="C92" i="2"/>
  <c r="B92" i="2"/>
  <c r="T91" i="2"/>
  <c r="S91" i="2"/>
  <c r="R91" i="2"/>
  <c r="Q91" i="2"/>
  <c r="P91" i="2"/>
  <c r="O91" i="2"/>
  <c r="N91" i="2"/>
  <c r="M91" i="2"/>
  <c r="L91" i="2"/>
  <c r="K91" i="2"/>
  <c r="J91" i="2"/>
  <c r="I91" i="2"/>
  <c r="H91" i="2"/>
  <c r="G91" i="2"/>
  <c r="F91" i="2"/>
  <c r="E91" i="2"/>
  <c r="D91" i="2"/>
  <c r="C91" i="2"/>
  <c r="B91" i="2"/>
  <c r="T90" i="2"/>
  <c r="S90" i="2"/>
  <c r="R90" i="2"/>
  <c r="Q90" i="2"/>
  <c r="P90" i="2"/>
  <c r="O90" i="2"/>
  <c r="N90" i="2"/>
  <c r="M90" i="2"/>
  <c r="L90" i="2"/>
  <c r="K90" i="2"/>
  <c r="J90" i="2"/>
  <c r="I90" i="2"/>
  <c r="H90" i="2"/>
  <c r="G90" i="2"/>
  <c r="F90" i="2"/>
  <c r="E90" i="2"/>
  <c r="D90" i="2"/>
  <c r="C90" i="2"/>
  <c r="B90" i="2"/>
  <c r="T89" i="2"/>
  <c r="S89" i="2"/>
  <c r="R89" i="2"/>
  <c r="Q89" i="2"/>
  <c r="P89" i="2"/>
  <c r="O89" i="2"/>
  <c r="N89" i="2"/>
  <c r="M89" i="2"/>
  <c r="L89" i="2"/>
  <c r="K89" i="2"/>
  <c r="J89" i="2"/>
  <c r="I89" i="2"/>
  <c r="H89" i="2"/>
  <c r="G89" i="2"/>
  <c r="F89" i="2"/>
  <c r="E89" i="2"/>
  <c r="D89" i="2"/>
  <c r="C89" i="2"/>
  <c r="B89" i="2"/>
  <c r="T88" i="2"/>
  <c r="S88" i="2"/>
  <c r="R88" i="2"/>
  <c r="Q88" i="2"/>
  <c r="P88" i="2"/>
  <c r="O88" i="2"/>
  <c r="N88" i="2"/>
  <c r="M88" i="2"/>
  <c r="L88" i="2"/>
  <c r="K88" i="2"/>
  <c r="J88" i="2"/>
  <c r="I88" i="2"/>
  <c r="H88" i="2"/>
  <c r="G88" i="2"/>
  <c r="F88" i="2"/>
  <c r="E88" i="2"/>
  <c r="D88" i="2"/>
  <c r="C88" i="2"/>
  <c r="B88" i="2"/>
  <c r="T87" i="2"/>
  <c r="S87" i="2"/>
  <c r="R87" i="2"/>
  <c r="Q87" i="2"/>
  <c r="P87" i="2"/>
  <c r="O87" i="2"/>
  <c r="N87" i="2"/>
  <c r="M87" i="2"/>
  <c r="L87" i="2"/>
  <c r="K87" i="2"/>
  <c r="J87" i="2"/>
  <c r="I87" i="2"/>
  <c r="H87" i="2"/>
  <c r="G87" i="2"/>
  <c r="F87" i="2"/>
  <c r="E87" i="2"/>
  <c r="D87" i="2"/>
  <c r="C87" i="2"/>
  <c r="B87" i="2"/>
  <c r="T86" i="2"/>
  <c r="S86" i="2"/>
  <c r="R86" i="2"/>
  <c r="Q86" i="2"/>
  <c r="P86" i="2"/>
  <c r="O86" i="2"/>
  <c r="N86" i="2"/>
  <c r="M86" i="2"/>
  <c r="L86" i="2"/>
  <c r="K86" i="2"/>
  <c r="J86" i="2"/>
  <c r="I86" i="2"/>
  <c r="H86" i="2"/>
  <c r="G86" i="2"/>
  <c r="F86" i="2"/>
  <c r="E86" i="2"/>
  <c r="D86" i="2"/>
  <c r="C86" i="2"/>
  <c r="B86" i="2"/>
  <c r="T85" i="2"/>
  <c r="S85" i="2"/>
  <c r="R85" i="2"/>
  <c r="Q85" i="2"/>
  <c r="P85" i="2"/>
  <c r="O85" i="2"/>
  <c r="N85" i="2"/>
  <c r="M85" i="2"/>
  <c r="L85" i="2"/>
  <c r="K85" i="2"/>
  <c r="J85" i="2"/>
  <c r="I85" i="2"/>
  <c r="H85" i="2"/>
  <c r="G85" i="2"/>
  <c r="F85" i="2"/>
  <c r="E85" i="2"/>
  <c r="D85" i="2"/>
  <c r="C85" i="2"/>
  <c r="B85" i="2"/>
  <c r="T84" i="2"/>
  <c r="S84" i="2"/>
  <c r="R84" i="2"/>
  <c r="Q84" i="2"/>
  <c r="P84" i="2"/>
  <c r="O84" i="2"/>
  <c r="N84" i="2"/>
  <c r="M84" i="2"/>
  <c r="L84" i="2"/>
  <c r="K84" i="2"/>
  <c r="J84" i="2"/>
  <c r="I84" i="2"/>
  <c r="H84" i="2"/>
  <c r="G84" i="2"/>
  <c r="F84" i="2"/>
  <c r="E84" i="2"/>
  <c r="D84" i="2"/>
  <c r="C84" i="2"/>
  <c r="B84" i="2"/>
  <c r="T83" i="2"/>
  <c r="S83" i="2"/>
  <c r="R83" i="2"/>
  <c r="Q83" i="2"/>
  <c r="P83" i="2"/>
  <c r="O83" i="2"/>
  <c r="N83" i="2"/>
  <c r="M83" i="2"/>
  <c r="L83" i="2"/>
  <c r="K83" i="2"/>
  <c r="J83" i="2"/>
  <c r="I83" i="2"/>
  <c r="H83" i="2"/>
  <c r="G83" i="2"/>
  <c r="F83" i="2"/>
  <c r="E83" i="2"/>
  <c r="D83" i="2"/>
  <c r="C83" i="2"/>
  <c r="B83" i="2"/>
  <c r="T82" i="2"/>
  <c r="S82" i="2"/>
  <c r="R82" i="2"/>
  <c r="Q82" i="2"/>
  <c r="P82" i="2"/>
  <c r="O82" i="2"/>
  <c r="N82" i="2"/>
  <c r="M82" i="2"/>
  <c r="L82" i="2"/>
  <c r="K82" i="2"/>
  <c r="J82" i="2"/>
  <c r="I82" i="2"/>
  <c r="H82" i="2"/>
  <c r="G82" i="2"/>
  <c r="F82" i="2"/>
  <c r="E82" i="2"/>
  <c r="D82" i="2"/>
  <c r="C82" i="2"/>
  <c r="B82" i="2"/>
  <c r="T81" i="2"/>
  <c r="S81" i="2"/>
  <c r="R81" i="2"/>
  <c r="Q81" i="2"/>
  <c r="P81" i="2"/>
  <c r="O81" i="2"/>
  <c r="N81" i="2"/>
  <c r="M81" i="2"/>
  <c r="L81" i="2"/>
  <c r="K81" i="2"/>
  <c r="J81" i="2"/>
  <c r="I81" i="2"/>
  <c r="H81" i="2"/>
  <c r="G81" i="2"/>
  <c r="F81" i="2"/>
  <c r="E81" i="2"/>
  <c r="D81" i="2"/>
  <c r="C81" i="2"/>
  <c r="B81" i="2"/>
  <c r="T80" i="2"/>
  <c r="S80" i="2"/>
  <c r="R80" i="2"/>
  <c r="Q80" i="2"/>
  <c r="P80" i="2"/>
  <c r="O80" i="2"/>
  <c r="N80" i="2"/>
  <c r="M80" i="2"/>
  <c r="L80" i="2"/>
  <c r="K80" i="2"/>
  <c r="J80" i="2"/>
  <c r="I80" i="2"/>
  <c r="H80" i="2"/>
  <c r="G80" i="2"/>
  <c r="F80" i="2"/>
  <c r="E80" i="2"/>
  <c r="D80" i="2"/>
  <c r="C80" i="2"/>
  <c r="B80" i="2"/>
  <c r="T79" i="2"/>
  <c r="S79" i="2"/>
  <c r="R79" i="2"/>
  <c r="Q79" i="2"/>
  <c r="P79" i="2"/>
  <c r="O79" i="2"/>
  <c r="N79" i="2"/>
  <c r="M79" i="2"/>
  <c r="L79" i="2"/>
  <c r="K79" i="2"/>
  <c r="J79" i="2"/>
  <c r="I79" i="2"/>
  <c r="H79" i="2"/>
  <c r="G79" i="2"/>
  <c r="F79" i="2"/>
  <c r="E79" i="2"/>
  <c r="D79" i="2"/>
  <c r="C79" i="2"/>
  <c r="B79" i="2"/>
  <c r="T78" i="2"/>
  <c r="S78" i="2"/>
  <c r="R78" i="2"/>
  <c r="Q78" i="2"/>
  <c r="P78" i="2"/>
  <c r="O78" i="2"/>
  <c r="N78" i="2"/>
  <c r="M78" i="2"/>
  <c r="L78" i="2"/>
  <c r="K78" i="2"/>
  <c r="J78" i="2"/>
  <c r="I78" i="2"/>
  <c r="H78" i="2"/>
  <c r="G78" i="2"/>
  <c r="F78" i="2"/>
  <c r="E78" i="2"/>
  <c r="D78" i="2"/>
  <c r="C78" i="2"/>
  <c r="B78" i="2"/>
  <c r="T77" i="2"/>
  <c r="S77" i="2"/>
  <c r="R77" i="2"/>
  <c r="Q77" i="2"/>
  <c r="P77" i="2"/>
  <c r="O77" i="2"/>
  <c r="N77" i="2"/>
  <c r="M77" i="2"/>
  <c r="L77" i="2"/>
  <c r="K77" i="2"/>
  <c r="J77" i="2"/>
  <c r="I77" i="2"/>
  <c r="H77" i="2"/>
  <c r="G77" i="2"/>
  <c r="F77" i="2"/>
  <c r="E77" i="2"/>
  <c r="D77" i="2"/>
  <c r="C77" i="2"/>
  <c r="B77" i="2"/>
  <c r="T76" i="2"/>
  <c r="S76" i="2"/>
  <c r="R76" i="2"/>
  <c r="Q76" i="2"/>
  <c r="P76" i="2"/>
  <c r="O76" i="2"/>
  <c r="N76" i="2"/>
  <c r="M76" i="2"/>
  <c r="L76" i="2"/>
  <c r="K76" i="2"/>
  <c r="J76" i="2"/>
  <c r="I76" i="2"/>
  <c r="H76" i="2"/>
  <c r="G76" i="2"/>
  <c r="F76" i="2"/>
  <c r="E76" i="2"/>
  <c r="D76" i="2"/>
  <c r="C76" i="2"/>
  <c r="B76" i="2"/>
  <c r="T75" i="2"/>
  <c r="S75" i="2"/>
  <c r="R75" i="2"/>
  <c r="Q75" i="2"/>
  <c r="P75" i="2"/>
  <c r="O75" i="2"/>
  <c r="N75" i="2"/>
  <c r="M75" i="2"/>
  <c r="L75" i="2"/>
  <c r="K75" i="2"/>
  <c r="J75" i="2"/>
  <c r="I75" i="2"/>
  <c r="H75" i="2"/>
  <c r="G75" i="2"/>
  <c r="F75" i="2"/>
  <c r="E75" i="2"/>
  <c r="D75" i="2"/>
  <c r="C75" i="2"/>
  <c r="B75" i="2"/>
  <c r="T74" i="2"/>
  <c r="S74" i="2"/>
  <c r="R74" i="2"/>
  <c r="Q74" i="2"/>
  <c r="P74" i="2"/>
  <c r="O74" i="2"/>
  <c r="N74" i="2"/>
  <c r="M74" i="2"/>
  <c r="L74" i="2"/>
  <c r="K74" i="2"/>
  <c r="J74" i="2"/>
  <c r="I74" i="2"/>
  <c r="H74" i="2"/>
  <c r="G74" i="2"/>
  <c r="F74" i="2"/>
  <c r="E74" i="2"/>
  <c r="D74" i="2"/>
  <c r="C74" i="2"/>
  <c r="B74" i="2"/>
  <c r="T73" i="2"/>
  <c r="S73" i="2"/>
  <c r="R73" i="2"/>
  <c r="Q73" i="2"/>
  <c r="P73" i="2"/>
  <c r="O73" i="2"/>
  <c r="N73" i="2"/>
  <c r="M73" i="2"/>
  <c r="L73" i="2"/>
  <c r="K73" i="2"/>
  <c r="J73" i="2"/>
  <c r="I73" i="2"/>
  <c r="H73" i="2"/>
  <c r="G73" i="2"/>
  <c r="F73" i="2"/>
  <c r="E73" i="2"/>
  <c r="D73" i="2"/>
  <c r="C73" i="2"/>
  <c r="B73" i="2"/>
  <c r="T72" i="2"/>
  <c r="S72" i="2"/>
  <c r="R72" i="2"/>
  <c r="Q72" i="2"/>
  <c r="P72" i="2"/>
  <c r="O72" i="2"/>
  <c r="N72" i="2"/>
  <c r="M72" i="2"/>
  <c r="L72" i="2"/>
  <c r="K72" i="2"/>
  <c r="J72" i="2"/>
  <c r="I72" i="2"/>
  <c r="H72" i="2"/>
  <c r="G72" i="2"/>
  <c r="F72" i="2"/>
  <c r="E72" i="2"/>
  <c r="D72" i="2"/>
  <c r="C72" i="2"/>
  <c r="B72" i="2"/>
  <c r="T71" i="2"/>
  <c r="S71" i="2"/>
  <c r="R71" i="2"/>
  <c r="Q71" i="2"/>
  <c r="P71" i="2"/>
  <c r="O71" i="2"/>
  <c r="N71" i="2"/>
  <c r="M71" i="2"/>
  <c r="L71" i="2"/>
  <c r="K71" i="2"/>
  <c r="J71" i="2"/>
  <c r="I71" i="2"/>
  <c r="H71" i="2"/>
  <c r="G71" i="2"/>
  <c r="F71" i="2"/>
  <c r="E71" i="2"/>
  <c r="D71" i="2"/>
  <c r="C71" i="2"/>
  <c r="B71" i="2"/>
  <c r="T70" i="2"/>
  <c r="S70" i="2"/>
  <c r="R70" i="2"/>
  <c r="Q70" i="2"/>
  <c r="P70" i="2"/>
  <c r="O70" i="2"/>
  <c r="N70" i="2"/>
  <c r="M70" i="2"/>
  <c r="L70" i="2"/>
  <c r="K70" i="2"/>
  <c r="J70" i="2"/>
  <c r="I70" i="2"/>
  <c r="H70" i="2"/>
  <c r="G70" i="2"/>
  <c r="F70" i="2"/>
  <c r="E70" i="2"/>
  <c r="D70" i="2"/>
  <c r="C70" i="2"/>
  <c r="B70" i="2"/>
  <c r="T69" i="2"/>
  <c r="S69" i="2"/>
  <c r="R69" i="2"/>
  <c r="Q69" i="2"/>
  <c r="P69" i="2"/>
  <c r="O69" i="2"/>
  <c r="N69" i="2"/>
  <c r="M69" i="2"/>
  <c r="L69" i="2"/>
  <c r="K69" i="2"/>
  <c r="J69" i="2"/>
  <c r="I69" i="2"/>
  <c r="H69" i="2"/>
  <c r="G69" i="2"/>
  <c r="F69" i="2"/>
  <c r="E69" i="2"/>
  <c r="D69" i="2"/>
  <c r="C69" i="2"/>
  <c r="B69" i="2"/>
  <c r="T68" i="2"/>
  <c r="S68" i="2"/>
  <c r="R68" i="2"/>
  <c r="Q68" i="2"/>
  <c r="P68" i="2"/>
  <c r="O68" i="2"/>
  <c r="N68" i="2"/>
  <c r="M68" i="2"/>
  <c r="L68" i="2"/>
  <c r="K68" i="2"/>
  <c r="J68" i="2"/>
  <c r="I68" i="2"/>
  <c r="H68" i="2"/>
  <c r="G68" i="2"/>
  <c r="F68" i="2"/>
  <c r="E68" i="2"/>
  <c r="D68" i="2"/>
  <c r="C68" i="2"/>
  <c r="B68" i="2"/>
  <c r="T67" i="2"/>
  <c r="S67" i="2"/>
  <c r="R67" i="2"/>
  <c r="Q67" i="2"/>
  <c r="P67" i="2"/>
  <c r="O67" i="2"/>
  <c r="N67" i="2"/>
  <c r="M67" i="2"/>
  <c r="L67" i="2"/>
  <c r="K67" i="2"/>
  <c r="J67" i="2"/>
  <c r="I67" i="2"/>
  <c r="H67" i="2"/>
  <c r="G67" i="2"/>
  <c r="F67" i="2"/>
  <c r="E67" i="2"/>
  <c r="D67" i="2"/>
  <c r="C67" i="2"/>
  <c r="B67" i="2"/>
  <c r="T66" i="2"/>
  <c r="S66" i="2"/>
  <c r="R66" i="2"/>
  <c r="Q66" i="2"/>
  <c r="P66" i="2"/>
  <c r="O66" i="2"/>
  <c r="N66" i="2"/>
  <c r="M66" i="2"/>
  <c r="L66" i="2"/>
  <c r="K66" i="2"/>
  <c r="J66" i="2"/>
  <c r="I66" i="2"/>
  <c r="H66" i="2"/>
  <c r="G66" i="2"/>
  <c r="F66" i="2"/>
  <c r="E66" i="2"/>
  <c r="D66" i="2"/>
  <c r="C66" i="2"/>
  <c r="B66" i="2"/>
  <c r="T65" i="2"/>
  <c r="S65" i="2"/>
  <c r="R65" i="2"/>
  <c r="Q65" i="2"/>
  <c r="P65" i="2"/>
  <c r="O65" i="2"/>
  <c r="N65" i="2"/>
  <c r="M65" i="2"/>
  <c r="L65" i="2"/>
  <c r="K65" i="2"/>
  <c r="J65" i="2"/>
  <c r="I65" i="2"/>
  <c r="H65" i="2"/>
  <c r="G65" i="2"/>
  <c r="F65" i="2"/>
  <c r="E65" i="2"/>
  <c r="D65" i="2"/>
  <c r="C65" i="2"/>
  <c r="B65" i="2"/>
  <c r="T64" i="2"/>
  <c r="S64" i="2"/>
  <c r="R64" i="2"/>
  <c r="Q64" i="2"/>
  <c r="P64" i="2"/>
  <c r="O64" i="2"/>
  <c r="N64" i="2"/>
  <c r="M64" i="2"/>
  <c r="L64" i="2"/>
  <c r="K64" i="2"/>
  <c r="J64" i="2"/>
  <c r="I64" i="2"/>
  <c r="H64" i="2"/>
  <c r="G64" i="2"/>
  <c r="F64" i="2"/>
  <c r="E64" i="2"/>
  <c r="D64" i="2"/>
  <c r="C64" i="2"/>
  <c r="B64" i="2"/>
  <c r="T63" i="2"/>
  <c r="S63" i="2"/>
  <c r="R63" i="2"/>
  <c r="Q63" i="2"/>
  <c r="P63" i="2"/>
  <c r="O63" i="2"/>
  <c r="N63" i="2"/>
  <c r="M63" i="2"/>
  <c r="L63" i="2"/>
  <c r="K63" i="2"/>
  <c r="J63" i="2"/>
  <c r="I63" i="2"/>
  <c r="H63" i="2"/>
  <c r="G63" i="2"/>
  <c r="F63" i="2"/>
  <c r="E63" i="2"/>
  <c r="D63" i="2"/>
  <c r="C63" i="2"/>
  <c r="B63" i="2"/>
  <c r="T62" i="2"/>
  <c r="S62" i="2"/>
  <c r="R62" i="2"/>
  <c r="Q62" i="2"/>
  <c r="P62" i="2"/>
  <c r="O62" i="2"/>
  <c r="N62" i="2"/>
  <c r="M62" i="2"/>
  <c r="L62" i="2"/>
  <c r="K62" i="2"/>
  <c r="J62" i="2"/>
  <c r="I62" i="2"/>
  <c r="H62" i="2"/>
  <c r="G62" i="2"/>
  <c r="F62" i="2"/>
  <c r="E62" i="2"/>
  <c r="D62" i="2"/>
  <c r="C62" i="2"/>
  <c r="B62" i="2"/>
  <c r="T61" i="2"/>
  <c r="S61" i="2"/>
  <c r="R61" i="2"/>
  <c r="Q61" i="2"/>
  <c r="P61" i="2"/>
  <c r="O61" i="2"/>
  <c r="N61" i="2"/>
  <c r="M61" i="2"/>
  <c r="L61" i="2"/>
  <c r="K61" i="2"/>
  <c r="J61" i="2"/>
  <c r="I61" i="2"/>
  <c r="H61" i="2"/>
  <c r="G61" i="2"/>
  <c r="F61" i="2"/>
  <c r="E61" i="2"/>
  <c r="D61" i="2"/>
  <c r="C61" i="2"/>
  <c r="B61" i="2"/>
  <c r="T60" i="2"/>
  <c r="S60" i="2"/>
  <c r="R60" i="2"/>
  <c r="Q60" i="2"/>
  <c r="P60" i="2"/>
  <c r="O60" i="2"/>
  <c r="N60" i="2"/>
  <c r="M60" i="2"/>
  <c r="L60" i="2"/>
  <c r="K60" i="2"/>
  <c r="J60" i="2"/>
  <c r="I60" i="2"/>
  <c r="H60" i="2"/>
  <c r="G60" i="2"/>
  <c r="F60" i="2"/>
  <c r="E60" i="2"/>
  <c r="D60" i="2"/>
  <c r="C60" i="2"/>
  <c r="B60" i="2"/>
  <c r="T59" i="2"/>
  <c r="S59" i="2"/>
  <c r="R59" i="2"/>
  <c r="Q59" i="2"/>
  <c r="P59" i="2"/>
  <c r="O59" i="2"/>
  <c r="N59" i="2"/>
  <c r="M59" i="2"/>
  <c r="L59" i="2"/>
  <c r="K59" i="2"/>
  <c r="J59" i="2"/>
  <c r="I59" i="2"/>
  <c r="H59" i="2"/>
  <c r="G59" i="2"/>
  <c r="F59" i="2"/>
  <c r="E59" i="2"/>
  <c r="D59" i="2"/>
  <c r="C59" i="2"/>
  <c r="B59" i="2"/>
  <c r="T58" i="2"/>
  <c r="S58" i="2"/>
  <c r="R58" i="2"/>
  <c r="Q58" i="2"/>
  <c r="P58" i="2"/>
  <c r="O58" i="2"/>
  <c r="N58" i="2"/>
  <c r="M58" i="2"/>
  <c r="L58" i="2"/>
  <c r="K58" i="2"/>
  <c r="J58" i="2"/>
  <c r="I58" i="2"/>
  <c r="H58" i="2"/>
  <c r="G58" i="2"/>
  <c r="F58" i="2"/>
  <c r="E58" i="2"/>
  <c r="D58" i="2"/>
  <c r="C58" i="2"/>
  <c r="B58" i="2"/>
  <c r="T57" i="2"/>
  <c r="S57" i="2"/>
  <c r="R57" i="2"/>
  <c r="Q57" i="2"/>
  <c r="P57" i="2"/>
  <c r="O57" i="2"/>
  <c r="N57" i="2"/>
  <c r="M57" i="2"/>
  <c r="L57" i="2"/>
  <c r="K57" i="2"/>
  <c r="J57" i="2"/>
  <c r="I57" i="2"/>
  <c r="H57" i="2"/>
  <c r="G57" i="2"/>
  <c r="F57" i="2"/>
  <c r="E57" i="2"/>
  <c r="D57" i="2"/>
  <c r="C57" i="2"/>
  <c r="B57" i="2"/>
  <c r="T56" i="2"/>
  <c r="S56" i="2"/>
  <c r="R56" i="2"/>
  <c r="Q56" i="2"/>
  <c r="P56" i="2"/>
  <c r="O56" i="2"/>
  <c r="N56" i="2"/>
  <c r="M56" i="2"/>
  <c r="L56" i="2"/>
  <c r="K56" i="2"/>
  <c r="J56" i="2"/>
  <c r="I56" i="2"/>
  <c r="H56" i="2"/>
  <c r="G56" i="2"/>
  <c r="F56" i="2"/>
  <c r="E56" i="2"/>
  <c r="D56" i="2"/>
  <c r="C56" i="2"/>
  <c r="B56" i="2"/>
  <c r="T55" i="2"/>
  <c r="S55" i="2"/>
  <c r="R55" i="2"/>
  <c r="Q55" i="2"/>
  <c r="P55" i="2"/>
  <c r="O55" i="2"/>
  <c r="N55" i="2"/>
  <c r="M55" i="2"/>
  <c r="L55" i="2"/>
  <c r="K55" i="2"/>
  <c r="J55" i="2"/>
  <c r="I55" i="2"/>
  <c r="H55" i="2"/>
  <c r="G55" i="2"/>
  <c r="F55" i="2"/>
  <c r="E55" i="2"/>
  <c r="D55" i="2"/>
  <c r="C55" i="2"/>
  <c r="B55" i="2"/>
  <c r="T54" i="2"/>
  <c r="S54" i="2"/>
  <c r="R54" i="2"/>
  <c r="Q54" i="2"/>
  <c r="P54" i="2"/>
  <c r="O54" i="2"/>
  <c r="N54" i="2"/>
  <c r="M54" i="2"/>
  <c r="L54" i="2"/>
  <c r="K54" i="2"/>
  <c r="J54" i="2"/>
  <c r="I54" i="2"/>
  <c r="H54" i="2"/>
  <c r="G54" i="2"/>
  <c r="F54" i="2"/>
  <c r="E54" i="2"/>
  <c r="D54" i="2"/>
  <c r="C54" i="2"/>
  <c r="B54" i="2"/>
  <c r="T53" i="2"/>
  <c r="S53" i="2"/>
  <c r="R53" i="2"/>
  <c r="Q53" i="2"/>
  <c r="P53" i="2"/>
  <c r="O53" i="2"/>
  <c r="N53" i="2"/>
  <c r="M53" i="2"/>
  <c r="L53" i="2"/>
  <c r="K53" i="2"/>
  <c r="J53" i="2"/>
  <c r="I53" i="2"/>
  <c r="H53" i="2"/>
  <c r="G53" i="2"/>
  <c r="F53" i="2"/>
  <c r="E53" i="2"/>
  <c r="D53" i="2"/>
  <c r="C53" i="2"/>
  <c r="B53" i="2"/>
  <c r="T52" i="2"/>
  <c r="S52" i="2"/>
  <c r="R52" i="2"/>
  <c r="Q52" i="2"/>
  <c r="P52" i="2"/>
  <c r="O52" i="2"/>
  <c r="N52" i="2"/>
  <c r="M52" i="2"/>
  <c r="L52" i="2"/>
  <c r="K52" i="2"/>
  <c r="J52" i="2"/>
  <c r="I52" i="2"/>
  <c r="H52" i="2"/>
  <c r="G52" i="2"/>
  <c r="F52" i="2"/>
  <c r="E52" i="2"/>
  <c r="D52" i="2"/>
  <c r="C52" i="2"/>
  <c r="B52" i="2"/>
  <c r="T51" i="2"/>
  <c r="S51" i="2"/>
  <c r="R51" i="2"/>
  <c r="Q51" i="2"/>
  <c r="P51" i="2"/>
  <c r="O51" i="2"/>
  <c r="N51" i="2"/>
  <c r="M51" i="2"/>
  <c r="L51" i="2"/>
  <c r="K51" i="2"/>
  <c r="J51" i="2"/>
  <c r="I51" i="2"/>
  <c r="H51" i="2"/>
  <c r="G51" i="2"/>
  <c r="F51" i="2"/>
  <c r="E51" i="2"/>
  <c r="D51" i="2"/>
  <c r="C51" i="2"/>
  <c r="B51" i="2"/>
  <c r="T50" i="2"/>
  <c r="S50" i="2"/>
  <c r="R50" i="2"/>
  <c r="Q50" i="2"/>
  <c r="P50" i="2"/>
  <c r="O50" i="2"/>
  <c r="N50" i="2"/>
  <c r="M50" i="2"/>
  <c r="L50" i="2"/>
  <c r="K50" i="2"/>
  <c r="J50" i="2"/>
  <c r="I50" i="2"/>
  <c r="H50" i="2"/>
  <c r="G50" i="2"/>
  <c r="F50" i="2"/>
  <c r="E50" i="2"/>
  <c r="D50" i="2"/>
  <c r="C50" i="2"/>
  <c r="B50" i="2"/>
  <c r="T49" i="2"/>
  <c r="S49" i="2"/>
  <c r="R49" i="2"/>
  <c r="Q49" i="2"/>
  <c r="P49" i="2"/>
  <c r="O49" i="2"/>
  <c r="N49" i="2"/>
  <c r="M49" i="2"/>
  <c r="L49" i="2"/>
  <c r="K49" i="2"/>
  <c r="J49" i="2"/>
  <c r="I49" i="2"/>
  <c r="H49" i="2"/>
  <c r="G49" i="2"/>
  <c r="F49" i="2"/>
  <c r="E49" i="2"/>
  <c r="D49" i="2"/>
  <c r="C49" i="2"/>
  <c r="B49" i="2"/>
  <c r="T48" i="2"/>
  <c r="S48" i="2"/>
  <c r="R48" i="2"/>
  <c r="Q48" i="2"/>
  <c r="P48" i="2"/>
  <c r="O48" i="2"/>
  <c r="N48" i="2"/>
  <c r="M48" i="2"/>
  <c r="L48" i="2"/>
  <c r="K48" i="2"/>
  <c r="J48" i="2"/>
  <c r="I48" i="2"/>
  <c r="H48" i="2"/>
  <c r="G48" i="2"/>
  <c r="F48" i="2"/>
  <c r="E48" i="2"/>
  <c r="D48" i="2"/>
  <c r="C48" i="2"/>
  <c r="B48" i="2"/>
  <c r="T47" i="2"/>
  <c r="S47" i="2"/>
  <c r="R47" i="2"/>
  <c r="Q47" i="2"/>
  <c r="P47" i="2"/>
  <c r="O47" i="2"/>
  <c r="N47" i="2"/>
  <c r="M47" i="2"/>
  <c r="L47" i="2"/>
  <c r="K47" i="2"/>
  <c r="J47" i="2"/>
  <c r="I47" i="2"/>
  <c r="H47" i="2"/>
  <c r="G47" i="2"/>
  <c r="F47" i="2"/>
  <c r="E47" i="2"/>
  <c r="D47" i="2"/>
  <c r="C47" i="2"/>
  <c r="B47" i="2"/>
  <c r="T46" i="2"/>
  <c r="S46" i="2"/>
  <c r="R46" i="2"/>
  <c r="Q46" i="2"/>
  <c r="P46" i="2"/>
  <c r="O46" i="2"/>
  <c r="N46" i="2"/>
  <c r="M46" i="2"/>
  <c r="L46" i="2"/>
  <c r="K46" i="2"/>
  <c r="J46" i="2"/>
  <c r="I46" i="2"/>
  <c r="H46" i="2"/>
  <c r="G46" i="2"/>
  <c r="F46" i="2"/>
  <c r="E46" i="2"/>
  <c r="D46" i="2"/>
  <c r="C46" i="2"/>
  <c r="B46" i="2"/>
  <c r="T45" i="2"/>
  <c r="S45" i="2"/>
  <c r="R45" i="2"/>
  <c r="Q45" i="2"/>
  <c r="P45" i="2"/>
  <c r="O45" i="2"/>
  <c r="N45" i="2"/>
  <c r="M45" i="2"/>
  <c r="L45" i="2"/>
  <c r="K45" i="2"/>
  <c r="J45" i="2"/>
  <c r="I45" i="2"/>
  <c r="H45" i="2"/>
  <c r="G45" i="2"/>
  <c r="F45" i="2"/>
  <c r="E45" i="2"/>
  <c r="D45" i="2"/>
  <c r="C45" i="2"/>
  <c r="B45" i="2"/>
  <c r="T44" i="2"/>
  <c r="S44" i="2"/>
  <c r="R44" i="2"/>
  <c r="Q44" i="2"/>
  <c r="P44" i="2"/>
  <c r="O44" i="2"/>
  <c r="N44" i="2"/>
  <c r="M44" i="2"/>
  <c r="L44" i="2"/>
  <c r="K44" i="2"/>
  <c r="J44" i="2"/>
  <c r="I44" i="2"/>
  <c r="H44" i="2"/>
  <c r="G44" i="2"/>
  <c r="F44" i="2"/>
  <c r="E44" i="2"/>
  <c r="D44" i="2"/>
  <c r="C44" i="2"/>
  <c r="B44" i="2"/>
  <c r="T43" i="2"/>
  <c r="S43" i="2"/>
  <c r="R43" i="2"/>
  <c r="Q43" i="2"/>
  <c r="P43" i="2"/>
  <c r="O43" i="2"/>
  <c r="N43" i="2"/>
  <c r="M43" i="2"/>
  <c r="L43" i="2"/>
  <c r="K43" i="2"/>
  <c r="J43" i="2"/>
  <c r="I43" i="2"/>
  <c r="H43" i="2"/>
  <c r="G43" i="2"/>
  <c r="F43" i="2"/>
  <c r="E43" i="2"/>
  <c r="D43" i="2"/>
  <c r="C43" i="2"/>
  <c r="B43" i="2"/>
  <c r="T42" i="2"/>
  <c r="S42" i="2"/>
  <c r="R42" i="2"/>
  <c r="Q42" i="2"/>
  <c r="P42" i="2"/>
  <c r="O42" i="2"/>
  <c r="N42" i="2"/>
  <c r="M42" i="2"/>
  <c r="L42" i="2"/>
  <c r="K42" i="2"/>
  <c r="J42" i="2"/>
  <c r="I42" i="2"/>
  <c r="H42" i="2"/>
  <c r="G42" i="2"/>
  <c r="F42" i="2"/>
  <c r="E42" i="2"/>
  <c r="D42" i="2"/>
  <c r="C42" i="2"/>
  <c r="B42" i="2"/>
  <c r="T41" i="2"/>
  <c r="S41" i="2"/>
  <c r="R41" i="2"/>
  <c r="Q41" i="2"/>
  <c r="P41" i="2"/>
  <c r="O41" i="2"/>
  <c r="N41" i="2"/>
  <c r="M41" i="2"/>
  <c r="L41" i="2"/>
  <c r="K41" i="2"/>
  <c r="J41" i="2"/>
  <c r="I41" i="2"/>
  <c r="H41" i="2"/>
  <c r="G41" i="2"/>
  <c r="F41" i="2"/>
  <c r="E41" i="2"/>
  <c r="D41" i="2"/>
  <c r="C41" i="2"/>
  <c r="B41" i="2"/>
  <c r="T40" i="2"/>
  <c r="S40" i="2"/>
  <c r="R40" i="2"/>
  <c r="Q40" i="2"/>
  <c r="P40" i="2"/>
  <c r="O40" i="2"/>
  <c r="N40" i="2"/>
  <c r="M40" i="2"/>
  <c r="L40" i="2"/>
  <c r="K40" i="2"/>
  <c r="J40" i="2"/>
  <c r="I40" i="2"/>
  <c r="H40" i="2"/>
  <c r="G40" i="2"/>
  <c r="F40" i="2"/>
  <c r="E40" i="2"/>
  <c r="D40" i="2"/>
  <c r="C40" i="2"/>
  <c r="B40" i="2"/>
  <c r="T39" i="2"/>
  <c r="S39" i="2"/>
  <c r="R39" i="2"/>
  <c r="Q39" i="2"/>
  <c r="P39" i="2"/>
  <c r="O39" i="2"/>
  <c r="N39" i="2"/>
  <c r="M39" i="2"/>
  <c r="L39" i="2"/>
  <c r="K39" i="2"/>
  <c r="J39" i="2"/>
  <c r="I39" i="2"/>
  <c r="H39" i="2"/>
  <c r="G39" i="2"/>
  <c r="F39" i="2"/>
  <c r="E39" i="2"/>
  <c r="D39" i="2"/>
  <c r="C39" i="2"/>
  <c r="B39" i="2"/>
  <c r="T38" i="2"/>
  <c r="S38" i="2"/>
  <c r="R38" i="2"/>
  <c r="Q38" i="2"/>
  <c r="P38" i="2"/>
  <c r="O38" i="2"/>
  <c r="N38" i="2"/>
  <c r="M38" i="2"/>
  <c r="L38" i="2"/>
  <c r="K38" i="2"/>
  <c r="J38" i="2"/>
  <c r="I38" i="2"/>
  <c r="H38" i="2"/>
  <c r="G38" i="2"/>
  <c r="F38" i="2"/>
  <c r="E38" i="2"/>
  <c r="D38" i="2"/>
  <c r="C38" i="2"/>
  <c r="B38" i="2"/>
  <c r="T37" i="2"/>
  <c r="S37" i="2"/>
  <c r="R37" i="2"/>
  <c r="Q37" i="2"/>
  <c r="P37" i="2"/>
  <c r="O37" i="2"/>
  <c r="N37" i="2"/>
  <c r="M37" i="2"/>
  <c r="L37" i="2"/>
  <c r="K37" i="2"/>
  <c r="J37" i="2"/>
  <c r="I37" i="2"/>
  <c r="H37" i="2"/>
  <c r="G37" i="2"/>
  <c r="F37" i="2"/>
  <c r="E37" i="2"/>
  <c r="D37" i="2"/>
  <c r="C37" i="2"/>
  <c r="B37" i="2"/>
  <c r="T36" i="2"/>
  <c r="S36" i="2"/>
  <c r="R36" i="2"/>
  <c r="Q36" i="2"/>
  <c r="P36" i="2"/>
  <c r="O36" i="2"/>
  <c r="N36" i="2"/>
  <c r="M36" i="2"/>
  <c r="L36" i="2"/>
  <c r="K36" i="2"/>
  <c r="J36" i="2"/>
  <c r="I36" i="2"/>
  <c r="H36" i="2"/>
  <c r="G36" i="2"/>
  <c r="F36" i="2"/>
  <c r="E36" i="2"/>
  <c r="D36" i="2"/>
  <c r="C36" i="2"/>
  <c r="B36" i="2"/>
  <c r="T35" i="2"/>
  <c r="S35" i="2"/>
  <c r="R35" i="2"/>
  <c r="Q35" i="2"/>
  <c r="P35" i="2"/>
  <c r="O35" i="2"/>
  <c r="N35" i="2"/>
  <c r="M35" i="2"/>
  <c r="L35" i="2"/>
  <c r="K35" i="2"/>
  <c r="J35" i="2"/>
  <c r="I35" i="2"/>
  <c r="H35" i="2"/>
  <c r="G35" i="2"/>
  <c r="F35" i="2"/>
  <c r="E35" i="2"/>
  <c r="D35" i="2"/>
  <c r="C35" i="2"/>
  <c r="B35" i="2"/>
  <c r="T34" i="2"/>
  <c r="S34" i="2"/>
  <c r="R34" i="2"/>
  <c r="Q34" i="2"/>
  <c r="P34" i="2"/>
  <c r="O34" i="2"/>
  <c r="N34" i="2"/>
  <c r="M34" i="2"/>
  <c r="L34" i="2"/>
  <c r="K34" i="2"/>
  <c r="J34" i="2"/>
  <c r="I34" i="2"/>
  <c r="H34" i="2"/>
  <c r="G34" i="2"/>
  <c r="F34" i="2"/>
  <c r="E34" i="2"/>
  <c r="D34" i="2"/>
  <c r="C34" i="2"/>
  <c r="B34" i="2"/>
  <c r="T33" i="2"/>
  <c r="S33" i="2"/>
  <c r="R33" i="2"/>
  <c r="Q33" i="2"/>
  <c r="P33" i="2"/>
  <c r="O33" i="2"/>
  <c r="N33" i="2"/>
  <c r="M33" i="2"/>
  <c r="L33" i="2"/>
  <c r="K33" i="2"/>
  <c r="J33" i="2"/>
  <c r="I33" i="2"/>
  <c r="H33" i="2"/>
  <c r="G33" i="2"/>
  <c r="F33" i="2"/>
  <c r="E33" i="2"/>
  <c r="D33" i="2"/>
  <c r="C33" i="2"/>
  <c r="B33" i="2"/>
  <c r="T32" i="2"/>
  <c r="S32" i="2"/>
  <c r="R32" i="2"/>
  <c r="Q32" i="2"/>
  <c r="P32" i="2"/>
  <c r="O32" i="2"/>
  <c r="N32" i="2"/>
  <c r="M32" i="2"/>
  <c r="L32" i="2"/>
  <c r="K32" i="2"/>
  <c r="J32" i="2"/>
  <c r="I32" i="2"/>
  <c r="H32" i="2"/>
  <c r="G32" i="2"/>
  <c r="F32" i="2"/>
  <c r="E32" i="2"/>
  <c r="D32" i="2"/>
  <c r="C32" i="2"/>
  <c r="B32" i="2"/>
  <c r="T31" i="2"/>
  <c r="S31" i="2"/>
  <c r="R31" i="2"/>
  <c r="Q31" i="2"/>
  <c r="P31" i="2"/>
  <c r="O31" i="2"/>
  <c r="N31" i="2"/>
  <c r="M31" i="2"/>
  <c r="L31" i="2"/>
  <c r="K31" i="2"/>
  <c r="J31" i="2"/>
  <c r="I31" i="2"/>
  <c r="H31" i="2"/>
  <c r="G31" i="2"/>
  <c r="F31" i="2"/>
  <c r="E31" i="2"/>
  <c r="D31" i="2"/>
  <c r="C31" i="2"/>
  <c r="B31" i="2"/>
  <c r="T30" i="2"/>
  <c r="S30" i="2"/>
  <c r="R30" i="2"/>
  <c r="Q30" i="2"/>
  <c r="P30" i="2"/>
  <c r="O30" i="2"/>
  <c r="N30" i="2"/>
  <c r="M30" i="2"/>
  <c r="L30" i="2"/>
  <c r="K30" i="2"/>
  <c r="J30" i="2"/>
  <c r="I30" i="2"/>
  <c r="H30" i="2"/>
  <c r="G30" i="2"/>
  <c r="F30" i="2"/>
  <c r="E30" i="2"/>
  <c r="D30" i="2"/>
  <c r="C30" i="2"/>
  <c r="B30" i="2"/>
  <c r="T29" i="2"/>
  <c r="S29" i="2"/>
  <c r="R29" i="2"/>
  <c r="Q29" i="2"/>
  <c r="P29" i="2"/>
  <c r="O29" i="2"/>
  <c r="N29" i="2"/>
  <c r="M29" i="2"/>
  <c r="L29" i="2"/>
  <c r="K29" i="2"/>
  <c r="J29" i="2"/>
  <c r="I29" i="2"/>
  <c r="H29" i="2"/>
  <c r="G29" i="2"/>
  <c r="F29" i="2"/>
  <c r="E29" i="2"/>
  <c r="D29" i="2"/>
  <c r="C29" i="2"/>
  <c r="B29" i="2"/>
  <c r="T28" i="2"/>
  <c r="S28" i="2"/>
  <c r="R28" i="2"/>
  <c r="Q28" i="2"/>
  <c r="P28" i="2"/>
  <c r="O28" i="2"/>
  <c r="N28" i="2"/>
  <c r="M28" i="2"/>
  <c r="L28" i="2"/>
  <c r="K28" i="2"/>
  <c r="J28" i="2"/>
  <c r="I28" i="2"/>
  <c r="H28" i="2"/>
  <c r="G28" i="2"/>
  <c r="F28" i="2"/>
  <c r="E28" i="2"/>
  <c r="D28" i="2"/>
  <c r="C28" i="2"/>
  <c r="B28" i="2"/>
  <c r="T27" i="2"/>
  <c r="S27" i="2"/>
  <c r="R27" i="2"/>
  <c r="Q27" i="2"/>
  <c r="P27" i="2"/>
  <c r="O27" i="2"/>
  <c r="N27" i="2"/>
  <c r="M27" i="2"/>
  <c r="L27" i="2"/>
  <c r="K27" i="2"/>
  <c r="J27" i="2"/>
  <c r="I27" i="2"/>
  <c r="H27" i="2"/>
  <c r="G27" i="2"/>
  <c r="F27" i="2"/>
  <c r="E27" i="2"/>
  <c r="D27" i="2"/>
  <c r="C27" i="2"/>
  <c r="B27" i="2"/>
  <c r="T26" i="2"/>
  <c r="S26" i="2"/>
  <c r="R26" i="2"/>
  <c r="Q26" i="2"/>
  <c r="P26" i="2"/>
  <c r="O26" i="2"/>
  <c r="N26" i="2"/>
  <c r="M26" i="2"/>
  <c r="L26" i="2"/>
  <c r="K26" i="2"/>
  <c r="J26" i="2"/>
  <c r="I26" i="2"/>
  <c r="H26" i="2"/>
  <c r="G26" i="2"/>
  <c r="F26" i="2"/>
  <c r="E26" i="2"/>
  <c r="D26" i="2"/>
  <c r="C26" i="2"/>
  <c r="B26" i="2"/>
  <c r="T25" i="2"/>
  <c r="S25" i="2"/>
  <c r="R25" i="2"/>
  <c r="Q25" i="2"/>
  <c r="P25" i="2"/>
  <c r="O25" i="2"/>
  <c r="N25" i="2"/>
  <c r="M25" i="2"/>
  <c r="L25" i="2"/>
  <c r="K25" i="2"/>
  <c r="J25" i="2"/>
  <c r="I25" i="2"/>
  <c r="H25" i="2"/>
  <c r="G25" i="2"/>
  <c r="F25" i="2"/>
  <c r="E25" i="2"/>
  <c r="D25" i="2"/>
  <c r="C25" i="2"/>
  <c r="B25" i="2"/>
  <c r="T24" i="2"/>
  <c r="S24" i="2"/>
  <c r="R24" i="2"/>
  <c r="Q24" i="2"/>
  <c r="P24" i="2"/>
  <c r="O24" i="2"/>
  <c r="N24" i="2"/>
  <c r="M24" i="2"/>
  <c r="L24" i="2"/>
  <c r="K24" i="2"/>
  <c r="J24" i="2"/>
  <c r="I24" i="2"/>
  <c r="H24" i="2"/>
  <c r="G24" i="2"/>
  <c r="F24" i="2"/>
  <c r="E24" i="2"/>
  <c r="D24" i="2"/>
  <c r="C24" i="2"/>
  <c r="B24" i="2"/>
  <c r="T23" i="2"/>
  <c r="S23" i="2"/>
  <c r="R23" i="2"/>
  <c r="Q23" i="2"/>
  <c r="P23" i="2"/>
  <c r="O23" i="2"/>
  <c r="N23" i="2"/>
  <c r="M23" i="2"/>
  <c r="L23" i="2"/>
  <c r="K23" i="2"/>
  <c r="J23" i="2"/>
  <c r="I23" i="2"/>
  <c r="H23" i="2"/>
  <c r="G23" i="2"/>
  <c r="F23" i="2"/>
  <c r="E23" i="2"/>
  <c r="D23" i="2"/>
  <c r="C23" i="2"/>
  <c r="B23" i="2"/>
  <c r="T22" i="2"/>
  <c r="S22" i="2"/>
  <c r="R22" i="2"/>
  <c r="Q22" i="2"/>
  <c r="P22" i="2"/>
  <c r="O22" i="2"/>
  <c r="N22" i="2"/>
  <c r="M22" i="2"/>
  <c r="L22" i="2"/>
  <c r="K22" i="2"/>
  <c r="J22" i="2"/>
  <c r="I22" i="2"/>
  <c r="H22" i="2"/>
  <c r="G22" i="2"/>
  <c r="F22" i="2"/>
  <c r="E22" i="2"/>
  <c r="D22" i="2"/>
  <c r="C22" i="2"/>
  <c r="B22" i="2"/>
  <c r="T21" i="2"/>
  <c r="S21" i="2"/>
  <c r="R21" i="2"/>
  <c r="Q21" i="2"/>
  <c r="P21" i="2"/>
  <c r="O21" i="2"/>
  <c r="N21" i="2"/>
  <c r="M21" i="2"/>
  <c r="L21" i="2"/>
  <c r="K21" i="2"/>
  <c r="J21" i="2"/>
  <c r="I21" i="2"/>
  <c r="H21" i="2"/>
  <c r="G21" i="2"/>
  <c r="F21" i="2"/>
  <c r="E21" i="2"/>
  <c r="D21" i="2"/>
  <c r="C21" i="2"/>
  <c r="B21" i="2"/>
  <c r="T20" i="2"/>
  <c r="S20" i="2"/>
  <c r="R20" i="2"/>
  <c r="Q20" i="2"/>
  <c r="P20" i="2"/>
  <c r="O20" i="2"/>
  <c r="N20" i="2"/>
  <c r="M20" i="2"/>
  <c r="L20" i="2"/>
  <c r="K20" i="2"/>
  <c r="J20" i="2"/>
  <c r="I20" i="2"/>
  <c r="H20" i="2"/>
  <c r="G20" i="2"/>
  <c r="F20" i="2"/>
  <c r="E20" i="2"/>
  <c r="D20" i="2"/>
  <c r="C20" i="2"/>
  <c r="B20" i="2"/>
  <c r="T19" i="2"/>
  <c r="S19" i="2"/>
  <c r="R19" i="2"/>
  <c r="Q19" i="2"/>
  <c r="P19" i="2"/>
  <c r="O19" i="2"/>
  <c r="N19" i="2"/>
  <c r="M19" i="2"/>
  <c r="L19" i="2"/>
  <c r="K19" i="2"/>
  <c r="J19" i="2"/>
  <c r="I19" i="2"/>
  <c r="H19" i="2"/>
  <c r="G19" i="2"/>
  <c r="F19" i="2"/>
  <c r="E19" i="2"/>
  <c r="D19" i="2"/>
  <c r="C19" i="2"/>
  <c r="B19" i="2"/>
  <c r="T18" i="2"/>
  <c r="S18" i="2"/>
  <c r="R18" i="2"/>
  <c r="Q18" i="2"/>
  <c r="P18" i="2"/>
  <c r="O18" i="2"/>
  <c r="N18" i="2"/>
  <c r="M18" i="2"/>
  <c r="L18" i="2"/>
  <c r="K18" i="2"/>
  <c r="J18" i="2"/>
  <c r="I18" i="2"/>
  <c r="H18" i="2"/>
  <c r="G18" i="2"/>
  <c r="F18" i="2"/>
  <c r="E18" i="2"/>
  <c r="D18" i="2"/>
  <c r="C18" i="2"/>
  <c r="B18" i="2"/>
  <c r="T17" i="2"/>
  <c r="S17" i="2"/>
  <c r="R17" i="2"/>
  <c r="Q17" i="2"/>
  <c r="P17" i="2"/>
  <c r="O17" i="2"/>
  <c r="N17" i="2"/>
  <c r="M17" i="2"/>
  <c r="L17" i="2"/>
  <c r="K17" i="2"/>
  <c r="J17" i="2"/>
  <c r="I17" i="2"/>
  <c r="H17" i="2"/>
  <c r="G17" i="2"/>
  <c r="F17" i="2"/>
  <c r="E17" i="2"/>
  <c r="D17" i="2"/>
  <c r="C17" i="2"/>
  <c r="B17" i="2"/>
  <c r="T16" i="2"/>
  <c r="S16" i="2"/>
  <c r="R16" i="2"/>
  <c r="Q16" i="2"/>
  <c r="P16" i="2"/>
  <c r="O16" i="2"/>
  <c r="N16" i="2"/>
  <c r="M16" i="2"/>
  <c r="L16" i="2"/>
  <c r="K16" i="2"/>
  <c r="J16" i="2"/>
  <c r="I16" i="2"/>
  <c r="H16" i="2"/>
  <c r="G16" i="2"/>
  <c r="F16" i="2"/>
  <c r="E16" i="2"/>
  <c r="D16" i="2"/>
  <c r="C16" i="2"/>
  <c r="B16" i="2"/>
  <c r="T15" i="2"/>
  <c r="S15" i="2"/>
  <c r="R15" i="2"/>
  <c r="Q15" i="2"/>
  <c r="P15" i="2"/>
  <c r="O15" i="2"/>
  <c r="N15" i="2"/>
  <c r="M15" i="2"/>
  <c r="L15" i="2"/>
  <c r="K15" i="2"/>
  <c r="J15" i="2"/>
  <c r="I15" i="2"/>
  <c r="H15" i="2"/>
  <c r="G15" i="2"/>
  <c r="F15" i="2"/>
  <c r="E15" i="2"/>
  <c r="D15" i="2"/>
  <c r="C15" i="2"/>
  <c r="B15" i="2"/>
  <c r="T14" i="2"/>
  <c r="S14" i="2"/>
  <c r="R14" i="2"/>
  <c r="Q14" i="2"/>
  <c r="P14" i="2"/>
  <c r="O14" i="2"/>
  <c r="N14" i="2"/>
  <c r="M14" i="2"/>
  <c r="L14" i="2"/>
  <c r="K14" i="2"/>
  <c r="J14" i="2"/>
  <c r="I14" i="2"/>
  <c r="H14" i="2"/>
  <c r="G14" i="2"/>
  <c r="F14" i="2"/>
  <c r="E14" i="2"/>
  <c r="D14" i="2"/>
  <c r="C14" i="2"/>
  <c r="B14" i="2"/>
  <c r="T13" i="2"/>
  <c r="S13" i="2"/>
  <c r="R13" i="2"/>
  <c r="Q13" i="2"/>
  <c r="P13" i="2"/>
  <c r="O13" i="2"/>
  <c r="N13" i="2"/>
  <c r="M13" i="2"/>
  <c r="L13" i="2"/>
  <c r="K13" i="2"/>
  <c r="J13" i="2"/>
  <c r="I13" i="2"/>
  <c r="H13" i="2"/>
  <c r="G13" i="2"/>
  <c r="F13" i="2"/>
  <c r="E13" i="2"/>
  <c r="D13" i="2"/>
  <c r="C13" i="2"/>
  <c r="B13" i="2"/>
  <c r="T12" i="2"/>
  <c r="S12" i="2"/>
  <c r="R12" i="2"/>
  <c r="Q12" i="2"/>
  <c r="P12" i="2"/>
  <c r="O12" i="2"/>
  <c r="N12" i="2"/>
  <c r="M12" i="2"/>
  <c r="L12" i="2"/>
  <c r="K12" i="2"/>
  <c r="J12" i="2"/>
  <c r="I12" i="2"/>
  <c r="H12" i="2"/>
  <c r="G12" i="2"/>
  <c r="F12" i="2"/>
  <c r="E12" i="2"/>
  <c r="D12" i="2"/>
  <c r="C12" i="2"/>
  <c r="B12" i="2"/>
  <c r="T11" i="2"/>
  <c r="S11" i="2"/>
  <c r="R11" i="2"/>
  <c r="Q11" i="2"/>
  <c r="P11" i="2"/>
  <c r="O11" i="2"/>
  <c r="N11" i="2"/>
  <c r="M11" i="2"/>
  <c r="L11" i="2"/>
  <c r="K11" i="2"/>
  <c r="J11" i="2"/>
  <c r="I11" i="2"/>
  <c r="H11" i="2"/>
  <c r="G11" i="2"/>
  <c r="F11" i="2"/>
  <c r="E11" i="2"/>
  <c r="D11" i="2"/>
  <c r="C11" i="2"/>
  <c r="B11" i="2"/>
  <c r="T10" i="2"/>
  <c r="S10" i="2"/>
  <c r="R10" i="2"/>
  <c r="Q10" i="2"/>
  <c r="P10" i="2"/>
  <c r="O10" i="2"/>
  <c r="N10" i="2"/>
  <c r="M10" i="2"/>
  <c r="L10" i="2"/>
  <c r="K10" i="2"/>
  <c r="J10" i="2"/>
  <c r="I10" i="2"/>
  <c r="H10" i="2"/>
  <c r="G10" i="2"/>
  <c r="F10" i="2"/>
  <c r="E10" i="2"/>
  <c r="D10" i="2"/>
  <c r="C10" i="2"/>
  <c r="B10" i="2"/>
  <c r="T9" i="2"/>
  <c r="S9" i="2"/>
  <c r="R9" i="2"/>
  <c r="Q9" i="2"/>
  <c r="P9" i="2"/>
  <c r="O9" i="2"/>
  <c r="N9" i="2"/>
  <c r="M9" i="2"/>
  <c r="L9" i="2"/>
  <c r="K9" i="2"/>
  <c r="J9" i="2"/>
  <c r="I9" i="2"/>
  <c r="H9" i="2"/>
  <c r="G9" i="2"/>
  <c r="F9" i="2"/>
  <c r="E9" i="2"/>
  <c r="D9" i="2"/>
  <c r="C9" i="2"/>
  <c r="B9" i="2"/>
  <c r="T8" i="2"/>
  <c r="S8" i="2"/>
  <c r="R8" i="2"/>
  <c r="Q8" i="2"/>
  <c r="P8" i="2"/>
  <c r="O8" i="2"/>
  <c r="N8" i="2"/>
  <c r="M8" i="2"/>
  <c r="L8" i="2"/>
  <c r="K8" i="2"/>
  <c r="J8" i="2"/>
  <c r="I8" i="2"/>
  <c r="H8" i="2"/>
  <c r="G8" i="2"/>
  <c r="F8" i="2"/>
  <c r="E8" i="2"/>
  <c r="D8" i="2"/>
  <c r="C8" i="2"/>
  <c r="B8" i="2"/>
  <c r="T7" i="2"/>
  <c r="S7" i="2"/>
  <c r="R7" i="2"/>
  <c r="Q7" i="2"/>
  <c r="P7" i="2"/>
  <c r="O7" i="2"/>
  <c r="N7" i="2"/>
  <c r="M7" i="2"/>
  <c r="L7" i="2"/>
  <c r="K7" i="2"/>
  <c r="J7" i="2"/>
  <c r="I7" i="2"/>
  <c r="H7" i="2"/>
  <c r="G7" i="2"/>
  <c r="F7" i="2"/>
  <c r="E7" i="2"/>
  <c r="D7" i="2"/>
  <c r="C7" i="2"/>
  <c r="B7" i="2"/>
  <c r="T6" i="2"/>
  <c r="S6" i="2"/>
  <c r="R6" i="2"/>
  <c r="Q6" i="2"/>
  <c r="P6" i="2"/>
  <c r="O6" i="2"/>
  <c r="N6" i="2"/>
  <c r="M6" i="2"/>
  <c r="L6" i="2"/>
  <c r="K6" i="2"/>
  <c r="J6" i="2"/>
  <c r="I6" i="2"/>
  <c r="H6" i="2"/>
  <c r="G6" i="2"/>
  <c r="F6" i="2"/>
  <c r="E6" i="2"/>
  <c r="D6" i="2"/>
  <c r="C6" i="2"/>
  <c r="B6" i="2"/>
  <c r="T5" i="2"/>
  <c r="S5" i="2"/>
  <c r="R5" i="2"/>
  <c r="Q5" i="2"/>
  <c r="P5" i="2"/>
  <c r="O5" i="2"/>
  <c r="N5" i="2"/>
  <c r="M5" i="2"/>
  <c r="L5" i="2"/>
  <c r="K5" i="2"/>
  <c r="J5" i="2"/>
  <c r="I5" i="2"/>
  <c r="H5" i="2"/>
  <c r="G5" i="2"/>
  <c r="F5" i="2"/>
  <c r="E5" i="2"/>
  <c r="D5" i="2"/>
  <c r="C5" i="2"/>
  <c r="B5" i="2"/>
  <c r="T4" i="2"/>
  <c r="S4" i="2"/>
  <c r="R4" i="2"/>
  <c r="Q4" i="2"/>
  <c r="P4" i="2"/>
  <c r="O4" i="2"/>
  <c r="N4" i="2"/>
  <c r="M4" i="2"/>
  <c r="L4" i="2"/>
  <c r="K4" i="2"/>
  <c r="J4" i="2"/>
  <c r="I4" i="2"/>
  <c r="H4" i="2"/>
  <c r="G4" i="2"/>
  <c r="F4" i="2"/>
  <c r="E4" i="2"/>
  <c r="D4" i="2"/>
  <c r="C4" i="2"/>
  <c r="B4" i="2"/>
  <c r="T3" i="2"/>
  <c r="S3" i="2"/>
  <c r="R3" i="2"/>
  <c r="Q3" i="2"/>
  <c r="P3" i="2"/>
  <c r="O3" i="2"/>
  <c r="N3" i="2"/>
  <c r="M3" i="2"/>
  <c r="L3" i="2"/>
  <c r="K3" i="2"/>
  <c r="J3" i="2"/>
  <c r="I3" i="2"/>
  <c r="H3" i="2"/>
  <c r="G3" i="2"/>
  <c r="F3" i="2"/>
  <c r="E3" i="2"/>
  <c r="D3" i="2"/>
  <c r="C3" i="2"/>
  <c r="B3" i="2"/>
  <c r="T2" i="2"/>
  <c r="S2" i="2"/>
  <c r="R2" i="2"/>
  <c r="Q2" i="2"/>
  <c r="P2" i="2"/>
  <c r="O2" i="2"/>
  <c r="N2" i="2"/>
  <c r="M2" i="2"/>
  <c r="L2" i="2"/>
  <c r="K2" i="2"/>
  <c r="J2" i="2"/>
  <c r="I2" i="2"/>
  <c r="H2" i="2"/>
  <c r="G2" i="2"/>
  <c r="F2" i="2"/>
  <c r="E2" i="2"/>
  <c r="D2" i="2"/>
  <c r="C2" i="2"/>
  <c r="B2" i="2"/>
</calcChain>
</file>

<file path=xl/sharedStrings.xml><?xml version="1.0" encoding="utf-8"?>
<sst xmlns="http://schemas.openxmlformats.org/spreadsheetml/2006/main" count="1468" uniqueCount="428">
  <si>
    <t>Student_ID</t>
  </si>
  <si>
    <t>Student_Name</t>
  </si>
  <si>
    <t>Age</t>
  </si>
  <si>
    <t>Gender</t>
  </si>
  <si>
    <t>City</t>
  </si>
  <si>
    <t>Course_Name</t>
  </si>
  <si>
    <t>Course_Category</t>
  </si>
  <si>
    <t>Enrollment_Date</t>
  </si>
  <si>
    <t>Last_Login_Date</t>
  </si>
  <si>
    <t>Course_Price</t>
  </si>
  <si>
    <t>Discount_Applied</t>
  </si>
  <si>
    <t>Amount_Paid</t>
  </si>
  <si>
    <t>Completion_Status</t>
  </si>
  <si>
    <t>Refund_Issued</t>
  </si>
  <si>
    <t>Engagement_Score</t>
  </si>
  <si>
    <t>Videos_Watched</t>
  </si>
  <si>
    <t>Assignments_Completed</t>
  </si>
  <si>
    <t>Days_Inactive</t>
  </si>
  <si>
    <t>S1001</t>
  </si>
  <si>
    <t>Vihaan Gupta</t>
  </si>
  <si>
    <t>Female</t>
  </si>
  <si>
    <t xml:space="preserve">Bangalore  </t>
  </si>
  <si>
    <t>Excel for Beginners</t>
  </si>
  <si>
    <t>Productivity</t>
  </si>
  <si>
    <t>Completed</t>
  </si>
  <si>
    <t>Yes</t>
  </si>
  <si>
    <t>S1002</t>
  </si>
  <si>
    <t>Navya Iyer</t>
  </si>
  <si>
    <t>MALE</t>
  </si>
  <si>
    <t>Chennai</t>
  </si>
  <si>
    <t>Advanced Excel</t>
  </si>
  <si>
    <t>yes</t>
  </si>
  <si>
    <t>S1003</t>
  </si>
  <si>
    <t>Ishaan Khan</t>
  </si>
  <si>
    <t>female</t>
  </si>
  <si>
    <t xml:space="preserve">Mumbai  </t>
  </si>
  <si>
    <t>Power BI Complete Guide</t>
  </si>
  <si>
    <t>Analytics</t>
  </si>
  <si>
    <t>NO</t>
  </si>
  <si>
    <t>S1004</t>
  </si>
  <si>
    <t>Ananya Reddy</t>
  </si>
  <si>
    <t xml:space="preserve">Chennai  </t>
  </si>
  <si>
    <t>Churned</t>
  </si>
  <si>
    <t>S1005</t>
  </si>
  <si>
    <t>Diya Kapoor</t>
  </si>
  <si>
    <t>Pune</t>
  </si>
  <si>
    <t>Digital Marketing Pro</t>
  </si>
  <si>
    <t>Marketing</t>
  </si>
  <si>
    <t>No</t>
  </si>
  <si>
    <t>S1006</t>
  </si>
  <si>
    <t>Male</t>
  </si>
  <si>
    <t>Delhi</t>
  </si>
  <si>
    <t>no</t>
  </si>
  <si>
    <t>S1007</t>
  </si>
  <si>
    <t xml:space="preserve">Chennai </t>
  </si>
  <si>
    <t>S1008</t>
  </si>
  <si>
    <t>Sara Ali</t>
  </si>
  <si>
    <t xml:space="preserve">Mumbai </t>
  </si>
  <si>
    <t>S1009</t>
  </si>
  <si>
    <t xml:space="preserve">Hyderabad  </t>
  </si>
  <si>
    <t>S1010</t>
  </si>
  <si>
    <t>Riya Banerjee</t>
  </si>
  <si>
    <t>FEMALE</t>
  </si>
  <si>
    <t>S1011</t>
  </si>
  <si>
    <t>Anika Das</t>
  </si>
  <si>
    <t xml:space="preserve">Kolkata </t>
  </si>
  <si>
    <t>Business Analysis Fundamentals</t>
  </si>
  <si>
    <t>S1012</t>
  </si>
  <si>
    <t>Myra Nair</t>
  </si>
  <si>
    <t>S1013</t>
  </si>
  <si>
    <t xml:space="preserve">Jaipur  </t>
  </si>
  <si>
    <t>YES</t>
  </si>
  <si>
    <t>S1014</t>
  </si>
  <si>
    <t>Sai Patel</t>
  </si>
  <si>
    <t>S1015</t>
  </si>
  <si>
    <t>S1016</t>
  </si>
  <si>
    <t xml:space="preserve">Hyderabad </t>
  </si>
  <si>
    <t>S1017</t>
  </si>
  <si>
    <t>Python for Data Science</t>
  </si>
  <si>
    <t>Programming</t>
  </si>
  <si>
    <t>S1018</t>
  </si>
  <si>
    <t>S1019</t>
  </si>
  <si>
    <t>Reyansh Shah</t>
  </si>
  <si>
    <t xml:space="preserve">Kolkata  </t>
  </si>
  <si>
    <t>S1020</t>
  </si>
  <si>
    <t>S1021</t>
  </si>
  <si>
    <t>Aadhya Mehta</t>
  </si>
  <si>
    <t xml:space="preserve">Chandigarh </t>
  </si>
  <si>
    <t>Data Analytics Bootcamp</t>
  </si>
  <si>
    <t>S1022</t>
  </si>
  <si>
    <t>male</t>
  </si>
  <si>
    <t>Kolkata</t>
  </si>
  <si>
    <t>S1023</t>
  </si>
  <si>
    <t>Jaipur</t>
  </si>
  <si>
    <t>S1024</t>
  </si>
  <si>
    <t>SQL Mastery</t>
  </si>
  <si>
    <t>S1025</t>
  </si>
  <si>
    <t>S1026</t>
  </si>
  <si>
    <t>Aanya Chatterjee</t>
  </si>
  <si>
    <t xml:space="preserve">Ahmedabad </t>
  </si>
  <si>
    <t>S1027</t>
  </si>
  <si>
    <t>S1028</t>
  </si>
  <si>
    <t>Aarav Sharma</t>
  </si>
  <si>
    <t>S1029</t>
  </si>
  <si>
    <t>Arjun Verma</t>
  </si>
  <si>
    <t xml:space="preserve">Chandigarh  </t>
  </si>
  <si>
    <t>S1030</t>
  </si>
  <si>
    <t xml:space="preserve">Delhi  </t>
  </si>
  <si>
    <t>S1031</t>
  </si>
  <si>
    <t>S1032</t>
  </si>
  <si>
    <t>Ira Malhotra</t>
  </si>
  <si>
    <t>S1033</t>
  </si>
  <si>
    <t>S1034</t>
  </si>
  <si>
    <t xml:space="preserve">Pune </t>
  </si>
  <si>
    <t>S1035</t>
  </si>
  <si>
    <t>S1036</t>
  </si>
  <si>
    <t>S1037</t>
  </si>
  <si>
    <t>S1038</t>
  </si>
  <si>
    <t>Shaurya Joshi</t>
  </si>
  <si>
    <t>S1039</t>
  </si>
  <si>
    <t>S1040</t>
  </si>
  <si>
    <t>Krishna Yadav</t>
  </si>
  <si>
    <t>S1041</t>
  </si>
  <si>
    <t>S1042</t>
  </si>
  <si>
    <t>S1043</t>
  </si>
  <si>
    <t>S1044</t>
  </si>
  <si>
    <t xml:space="preserve">Bangalore </t>
  </si>
  <si>
    <t>S1045</t>
  </si>
  <si>
    <t>S1046</t>
  </si>
  <si>
    <t>S1047</t>
  </si>
  <si>
    <t xml:space="preserve">Delhi </t>
  </si>
  <si>
    <t>S1048</t>
  </si>
  <si>
    <t>Bangalore</t>
  </si>
  <si>
    <t>S1049</t>
  </si>
  <si>
    <t>S1050</t>
  </si>
  <si>
    <t>S1051</t>
  </si>
  <si>
    <t>S1052</t>
  </si>
  <si>
    <t>S1053</t>
  </si>
  <si>
    <t>Vivaan Singh</t>
  </si>
  <si>
    <t xml:space="preserve">Pune  </t>
  </si>
  <si>
    <t>S1054</t>
  </si>
  <si>
    <t>Ahmedabad</t>
  </si>
  <si>
    <t>S1055</t>
  </si>
  <si>
    <t>S1056</t>
  </si>
  <si>
    <t>S1057</t>
  </si>
  <si>
    <t>S1058</t>
  </si>
  <si>
    <t>Chandigarh</t>
  </si>
  <si>
    <t>S1059</t>
  </si>
  <si>
    <t>S1060</t>
  </si>
  <si>
    <t xml:space="preserve">Jaipur </t>
  </si>
  <si>
    <t>S1061</t>
  </si>
  <si>
    <t>S1062</t>
  </si>
  <si>
    <t>S1063</t>
  </si>
  <si>
    <t>S1064</t>
  </si>
  <si>
    <t>S1065</t>
  </si>
  <si>
    <t>S1066</t>
  </si>
  <si>
    <t>Aditya Kumar</t>
  </si>
  <si>
    <t>S1067</t>
  </si>
  <si>
    <t>Hyderabad</t>
  </si>
  <si>
    <t>S1068</t>
  </si>
  <si>
    <t>S1069</t>
  </si>
  <si>
    <t>S1070</t>
  </si>
  <si>
    <t>S1071</t>
  </si>
  <si>
    <t>S1072</t>
  </si>
  <si>
    <t>S1073</t>
  </si>
  <si>
    <t>S1074</t>
  </si>
  <si>
    <t>S1075</t>
  </si>
  <si>
    <t>S1076</t>
  </si>
  <si>
    <t>S1077</t>
  </si>
  <si>
    <t>S1078</t>
  </si>
  <si>
    <t>S1079</t>
  </si>
  <si>
    <t>S1080</t>
  </si>
  <si>
    <t>Mumbai</t>
  </si>
  <si>
    <t>S1081</t>
  </si>
  <si>
    <t>S1082</t>
  </si>
  <si>
    <t>S1083</t>
  </si>
  <si>
    <t>S1084</t>
  </si>
  <si>
    <t>S1085</t>
  </si>
  <si>
    <t xml:space="preserve">Ahmedabad  </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</si>
  <si>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</si>
  <si>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</si>
  <si>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</si>
  <si>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</si>
  <si>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</si>
  <si>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</si>
  <si>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</si>
  <si>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</si>
  <si>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</si>
  <si>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</si>
  <si>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</si>
  <si>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</si>
  <si>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</si>
  <si>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</si>
  <si>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</si>
  <si>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</si>
  <si>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</si>
  <si>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</si>
  <si>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</si>
  <si>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</si>
  <si>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</si>
  <si>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</si>
  <si>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</si>
  <si>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</si>
  <si>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</si>
  <si>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</si>
  <si>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</si>
  <si>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</si>
  <si>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</si>
  <si>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</si>
  <si>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</si>
  <si>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</si>
  <si>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</si>
  <si>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</si>
  <si>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</si>
  <si>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</si>
  <si>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</si>
  <si>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</si>
  <si>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</si>
  <si>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</si>
  <si>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</si>
  <si>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</si>
  <si>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</si>
  <si>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</si>
  <si>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</si>
  <si>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</si>
  <si>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</si>
  <si>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</si>
  <si>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</si>
  <si>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</si>
  <si>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</si>
  <si>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</si>
  <si>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</si>
  <si>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</si>
  <si>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</si>
  <si>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</si>
  <si>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</si>
  <si>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</si>
  <si>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</si>
  <si>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</si>
  <si>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</si>
  <si>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</si>
  <si>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</si>
  <si>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</si>
  <si>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</si>
  <si>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Atharv Mishra</t>
  </si>
  <si>
    <t>Dhruv Agarwal</t>
  </si>
  <si>
    <t>Kabir Mehta</t>
  </si>
  <si>
    <t>Rudra Saxena</t>
  </si>
  <si>
    <t>Aryan Kapoor</t>
  </si>
  <si>
    <t>Yash Jain</t>
  </si>
  <si>
    <t>Kunal Malhotra</t>
  </si>
  <si>
    <t>Harsh Vardhan</t>
  </si>
  <si>
    <t>Rohan Choudhary</t>
  </si>
  <si>
    <t>Devansh Bansal</t>
  </si>
  <si>
    <t>Sneha Kulkarni</t>
  </si>
  <si>
    <t>Pooja Sharma</t>
  </si>
  <si>
    <t>Kavya Nair</t>
  </si>
  <si>
    <t>Priya Menon</t>
  </si>
  <si>
    <t>Neha Joshi</t>
  </si>
  <si>
    <t>Simran Kaur</t>
  </si>
  <si>
    <t>Mehak Arora</t>
  </si>
  <si>
    <t>Tanvi Desai</t>
  </si>
  <si>
    <t>Ritika Gupta</t>
  </si>
  <si>
    <t>Shreya Iyer</t>
  </si>
  <si>
    <t>Rahul Sharma</t>
  </si>
  <si>
    <t>Amit Singh</t>
  </si>
  <si>
    <t>Vikas Kumar</t>
  </si>
  <si>
    <t>Nikhil Gupta</t>
  </si>
  <si>
    <t>Sandeep Yadav</t>
  </si>
  <si>
    <t>Manish Verma</t>
  </si>
  <si>
    <t>Rajesh Patel</t>
  </si>
  <si>
    <t>Deepak Mishra</t>
  </si>
  <si>
    <t>Ankit Jain</t>
  </si>
  <si>
    <t>Mohit Agarwal</t>
  </si>
  <si>
    <t>Sakshi Sharma</t>
  </si>
  <si>
    <t>Nidhi Singh</t>
  </si>
  <si>
    <t>Komal Gupta</t>
  </si>
  <si>
    <t>Preeti Yadav</t>
  </si>
  <si>
    <t>Swati Verma</t>
  </si>
  <si>
    <t>Ritu Patel</t>
  </si>
  <si>
    <t>Payal Mishra</t>
  </si>
  <si>
    <t>Divya Jain</t>
  </si>
  <si>
    <t>Muskan Agarwal</t>
  </si>
  <si>
    <t>Ishita Sharma</t>
  </si>
  <si>
    <t>Varun Sharma</t>
  </si>
  <si>
    <t>Tarun Singh</t>
  </si>
  <si>
    <t>Nitin Gupta</t>
  </si>
  <si>
    <t>Sachin Yadav</t>
  </si>
  <si>
    <t>Ajay Verma</t>
  </si>
  <si>
    <t>Vivek Patel</t>
  </si>
  <si>
    <t>Rakesh Mishra</t>
  </si>
  <si>
    <t>Gaurav Jain</t>
  </si>
  <si>
    <t>Himanshu Agarwal</t>
  </si>
  <si>
    <t>Abhishek Sharma</t>
  </si>
  <si>
    <t>Palak Sharma</t>
  </si>
  <si>
    <t>Khushi Singh</t>
  </si>
  <si>
    <t>Nandini Gupta</t>
  </si>
  <si>
    <t>Aarti Yadav</t>
  </si>
  <si>
    <t>Bhavna Verma</t>
  </si>
  <si>
    <t>Jyoti Patel</t>
  </si>
  <si>
    <t>Alisha Mishra</t>
  </si>
  <si>
    <t>Mansi Jain</t>
  </si>
  <si>
    <t>Radhika Agarwal</t>
  </si>
  <si>
    <t>Tanya Sharma</t>
  </si>
  <si>
    <t>Lakshya Sharma</t>
  </si>
  <si>
    <t>Parth Singh</t>
  </si>
  <si>
    <t>Shivam Gupta</t>
  </si>
  <si>
    <t>Uday Yadav</t>
  </si>
  <si>
    <t>Kartik Verma</t>
  </si>
  <si>
    <t>Prince Patel</t>
  </si>
  <si>
    <t>Rohit Mishra</t>
  </si>
  <si>
    <t>Sumit Jain</t>
  </si>
  <si>
    <t>Akash Agarwal</t>
  </si>
  <si>
    <t>Mayank Sharma</t>
  </si>
  <si>
    <t>Sonal Sharma</t>
  </si>
  <si>
    <t>Pallavi Singh</t>
  </si>
  <si>
    <t>Rekha Gupta</t>
  </si>
  <si>
    <t>Seema Yadav</t>
  </si>
  <si>
    <t>Anjali Verma</t>
  </si>
  <si>
    <t>Sunita Patel</t>
  </si>
  <si>
    <t>Geeta Mishra</t>
  </si>
  <si>
    <t>Kiran Jain</t>
  </si>
  <si>
    <t>Madhu Agarwal</t>
  </si>
  <si>
    <t>Reena Sharma</t>
  </si>
  <si>
    <t>Siddharth Sharma</t>
  </si>
  <si>
    <t>Ayush Singh</t>
  </si>
  <si>
    <t>Manav Gupta</t>
  </si>
  <si>
    <t>Adarsh Yadav</t>
  </si>
  <si>
    <t>Lokesh Verma</t>
  </si>
  <si>
    <t>Piyush Patel</t>
  </si>
  <si>
    <t>Dinesh Mishra</t>
  </si>
  <si>
    <t>Prashant Jain</t>
  </si>
  <si>
    <t>Kapil Agarwal</t>
  </si>
  <si>
    <t>Chirag Sharma</t>
  </si>
  <si>
    <t>Monika Sharma</t>
  </si>
  <si>
    <t>Sheetal Singh</t>
  </si>
  <si>
    <t>Beena Gupta</t>
  </si>
  <si>
    <t>Usha Yadav</t>
  </si>
  <si>
    <t>Suman Verma</t>
  </si>
  <si>
    <t>Lata Patel</t>
  </si>
  <si>
    <t>Nikita Mishra</t>
  </si>
  <si>
    <t>Anu Jain</t>
  </si>
  <si>
    <t>Heena Agarwal</t>
  </si>
  <si>
    <t>Ruby Sharma</t>
  </si>
  <si>
    <t>Om Prakash</t>
  </si>
  <si>
    <t>Ravi Kant</t>
  </si>
  <si>
    <t>Suraj Kumar</t>
  </si>
  <si>
    <t>Vinod Kumar</t>
  </si>
  <si>
    <t>Ashok Kumar</t>
  </si>
  <si>
    <t>Naresh Kumar</t>
  </si>
  <si>
    <t>Mahesh Kumar</t>
  </si>
  <si>
    <t>Suresh Kumar</t>
  </si>
  <si>
    <t>Mukesh Kumar</t>
  </si>
  <si>
    <t>Ramesh Kumar</t>
  </si>
  <si>
    <t>Farhan Ali</t>
  </si>
  <si>
    <t>Imran Khan</t>
  </si>
  <si>
    <t>Ayaan Khan</t>
  </si>
  <si>
    <t>Faizan Khan</t>
  </si>
  <si>
    <t>Sameer Khan</t>
  </si>
  <si>
    <t>Arbaz Khan</t>
  </si>
  <si>
    <t>Danish Khan</t>
  </si>
  <si>
    <t>Zaid Khan</t>
  </si>
  <si>
    <t>Saif Khan</t>
  </si>
  <si>
    <t>Arman Khan</t>
  </si>
  <si>
    <t>Joseph Dsouza</t>
  </si>
  <si>
    <t>Kevin Dsouza</t>
  </si>
  <si>
    <t>Ryan Dsouza</t>
  </si>
  <si>
    <t>Aaron Dsouza</t>
  </si>
  <si>
    <t>Neil Dsouza</t>
  </si>
  <si>
    <t>Chris Dsouza</t>
  </si>
  <si>
    <t>Daniel Dsouza</t>
  </si>
  <si>
    <t>Samuel Dsouza</t>
  </si>
  <si>
    <t>Victor Dsouza</t>
  </si>
  <si>
    <t>Adrian Dsouza</t>
  </si>
  <si>
    <t>Student_id</t>
  </si>
  <si>
    <t>Sr no</t>
  </si>
  <si>
    <t>Student_name</t>
  </si>
  <si>
    <t>Coursename</t>
  </si>
  <si>
    <t>Course category</t>
  </si>
  <si>
    <t>Enrollment date</t>
  </si>
  <si>
    <t>Last login date</t>
  </si>
  <si>
    <t>Discount applied</t>
  </si>
  <si>
    <t>Course price</t>
  </si>
  <si>
    <t>Amount paid</t>
  </si>
  <si>
    <t>Refund issued</t>
  </si>
  <si>
    <t>Completion status</t>
  </si>
  <si>
    <t>Engagement score</t>
  </si>
  <si>
    <t>Videos watched</t>
  </si>
  <si>
    <t>Assignment completed</t>
  </si>
  <si>
    <t>Days inactive</t>
  </si>
  <si>
    <t>Amount pending</t>
  </si>
  <si>
    <t xml:space="preserve">Analysis Sheet </t>
  </si>
  <si>
    <t>Total students</t>
  </si>
  <si>
    <t>Category</t>
  </si>
  <si>
    <t>Total revenue</t>
  </si>
  <si>
    <t>Total loss</t>
  </si>
  <si>
    <t>Total</t>
  </si>
  <si>
    <t>Grand Total</t>
  </si>
  <si>
    <t>Row Labels</t>
  </si>
  <si>
    <t xml:space="preserve">Churn rate </t>
  </si>
  <si>
    <t>Count of Completion status</t>
  </si>
  <si>
    <t>Insights no</t>
  </si>
  <si>
    <t>Observation</t>
  </si>
  <si>
    <t>Recommendation</t>
  </si>
  <si>
    <t>Overall Churn rate</t>
  </si>
  <si>
    <t>Excel For Beginners</t>
  </si>
  <si>
    <t>Sql Mastery</t>
  </si>
  <si>
    <t>Python For Data Science</t>
  </si>
  <si>
    <t>Power Bi Complete Guide</t>
  </si>
  <si>
    <t>Column Labels</t>
  </si>
  <si>
    <t>Student Completion and Churn by Course</t>
  </si>
  <si>
    <t>Overall Student Completion Status</t>
  </si>
  <si>
    <t>Revenue Loss by Course</t>
  </si>
  <si>
    <t>Inactivity</t>
  </si>
  <si>
    <t>Vs Loss of revenue</t>
  </si>
  <si>
    <t>Insights and Executive Summary</t>
  </si>
  <si>
    <t>Business Impact</t>
  </si>
  <si>
    <t>1. Overall Retention</t>
  </si>
  <si>
    <t>2. Category Performance</t>
  </si>
  <si>
    <t>3.Inactivity Triggers</t>
  </si>
  <si>
    <t>Potential revenue loss of $32000 in pending payments and lost lifetime value and credibility.</t>
  </si>
  <si>
    <t>Marketing and Productivity has highest Churn rate.</t>
  </si>
  <si>
    <t>Higher Customer accquisition cost is being wasted on Marketing due to low retention rate in these two courses.</t>
  </si>
  <si>
    <t xml:space="preserve">Churners show an average inactivity of 25 days. </t>
  </si>
  <si>
    <t>Once a student is inactive for 14+ days, the probability of completion drops by 70%.</t>
  </si>
  <si>
    <t>Churn rate is 55% across all categories, with 82 out of 150 students dropping out.</t>
  </si>
  <si>
    <t>Audit Marketing and Productivity Course content for "Difficulty Spikes" in early modules. Use AI to provide remedial support.</t>
  </si>
  <si>
    <t>The 13 day rule: Trigger a personalized AI Success agent "Nudge" at Day 12 of inactivity to pull students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</si>
</sst>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1"/>
      <name val="Calibri"/>
      <family val="2"/>
      <scheme val="minor"/>
    </font>
    <font>
      <b/>
      <sz val="14"/>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4"/>
        <bgColor indexed="64"/>
      </patternFill>
    </fill>
    <fill>
      <patternFill patternType="solid">
        <fgColor theme="0" tint="-0.249977111117893"/>
        <bgColor indexed="64"/>
      </patternFill>
    </fill>
    <fill>
      <patternFill patternType="solid">
        <fgColor rgb="FF0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7">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2" fontId="0" fillId="0" borderId="0" xfId="0" applyNumberFormat="1"/>
    <xf numFmtId="0" fontId="0" fillId="0" borderId="0" xfId="0" pivotButton="1"/>
    <xf numFmtId="0" fontId="0" fillId="0" borderId="0" xfId="0" applyAlignment="1">
      <alignment horizontal="left"/>
    </xf>
    <xf numFmtId="9" fontId="0" fillId="0" borderId="0" xfId="42" applyFont="1"/>
    <xf numFmtId="0" fontId="16" fillId="34" borderId="0" xfId="0" applyFont="1" applyFill="1" applyAlignment="1">
      <alignment horizontal="center"/>
    </xf>
    <xf numFmtId="0" fontId="18" fillId="0" borderId="0" xfId="0" applyFont="1"/>
    <xf numFmtId="9" fontId="18" fillId="0" borderId="0" xfId="0" applyNumberFormat="1" applyFont="1"/>
    <xf numFmtId="0" fontId="16" fillId="0" borderId="0" xfId="0" applyFont="1"/>
    <xf numFmtId="0" fontId="20" fillId="0" borderId="0" xfId="0" applyFont="1"/>
    <xf numFmtId="1" fontId="16" fillId="34" borderId="0" xfId="0" applyNumberFormat="1" applyFont="1" applyFill="1" applyAlignment="1">
      <alignment horizontal="center"/>
    </xf>
    <xf numFmtId="1" fontId="0" fillId="0" borderId="0" xfId="0" applyNumberFormat="1"/>
    <xf numFmtId="1" fontId="0" fillId="0" borderId="0" xfId="43" applyNumberFormat="1" applyFont="1"/>
    <xf numFmtId="0" fontId="0" fillId="0" borderId="0" xfId="0" applyAlignment="1">
      <alignment wrapText="1"/>
    </xf>
    <xf numFmtId="0" fontId="19" fillId="0" borderId="0" xfId="0" applyFont="1" applyAlignment="1">
      <alignment horizontal="center"/>
    </xf>
    <xf numFmtId="0" fontId="18" fillId="37" borderId="0" xfId="0" applyFont="1" applyFill="1"/>
    <xf numFmtId="0" fontId="18" fillId="37" borderId="0" xfId="0" applyFont="1" applyFill="1" applyAlignment="1">
      <alignment wrapText="1"/>
    </xf>
    <xf numFmtId="0" fontId="13" fillId="38" borderId="0" xfId="0" applyFont="1" applyFill="1" applyAlignment="1">
      <alignment wrapText="1"/>
    </xf>
    <xf numFmtId="0" fontId="13" fillId="38" borderId="0" xfId="0" applyFont="1" applyFill="1"/>
    <xf numFmtId="0" fontId="19" fillId="33" borderId="0" xfId="0" applyFont="1" applyFill="1" applyAlignment="1">
      <alignment horizontal="center"/>
    </xf>
    <xf numFmtId="0" fontId="16" fillId="33" borderId="0" xfId="0" applyFont="1" applyFill="1" applyAlignment="1">
      <alignment horizontal="center"/>
    </xf>
    <xf numFmtId="0" fontId="0" fillId="35" borderId="0" xfId="0" applyFill="1" applyAlignment="1">
      <alignment horizontal="center"/>
    </xf>
    <xf numFmtId="0" fontId="21" fillId="36" borderId="0" xfId="0" applyFont="1" applyFill="1"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FFC7CE"/>
        </patternFill>
      </fil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0000"/>
      <color rgb="FF388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!Completionbycourse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 '!$B$2:$B$3</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'!$A$4:$A$12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'!$B$4:$B$12</c:f>
              <c:numCache>
                <c:formatCode>General</c:formatCode>
                <c:ptCount val="8"/>
                <c:pt idx="0">
                  <c:v>12</c:v>
                </c:pt>
                <c:pt idx="1">
                  <c:v>6</c:v>
                </c:pt>
                <c:pt idx="2">
                  <c:v>9</c:v>
                </c:pt>
                <c:pt idx="3">
                  <c:v>13</c:v>
                </c:pt>
                <c:pt idx="4">
                  <c:v>12</c:v>
                </c:pt>
                <c:pt idx="5">
                  <c:v>13</c:v>
                </c:pt>
                <c:pt idx="6">
                  <c:v>9</c:v>
                </c:pt>
                <c:pt idx="7">
                  <c:v>8</c:v>
                </c:pt>
              </c:numCache>
            </c:numRef>
          </c:val>
          <c:extLst>
            <c:ext xmlns:c16="http://schemas.microsoft.com/office/drawing/2014/chart" uri="{C3380CC4-5D6E-409C-BE32-E72D297353CC}">
              <c16:uniqueId val="{00000000-9AE5-4CEE-8CE3-D8D9960AD4C8}"/>
            </c:ext>
          </c:extLst>
        </c:ser>
        <c:ser>
          <c:idx val="1"/>
          <c:order val="1"/>
          <c:tx>
            <c:strRef>
              <c:f>'Pivot_sheet '!$C$2:$C$3</c:f>
              <c:strCache>
                <c:ptCount val="1"/>
                <c:pt idx="0">
                  <c:v>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'!$A$4:$A$12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'!$C$4:$C$12</c:f>
              <c:numCache>
                <c:formatCode>General</c:formatCode>
                <c:ptCount val="8"/>
                <c:pt idx="0">
                  <c:v>8</c:v>
                </c:pt>
                <c:pt idx="1">
                  <c:v>12</c:v>
                </c:pt>
                <c:pt idx="2">
                  <c:v>5</c:v>
                </c:pt>
                <c:pt idx="3">
                  <c:v>8</c:v>
                </c:pt>
                <c:pt idx="4">
                  <c:v>9</c:v>
                </c:pt>
                <c:pt idx="5">
                  <c:v>8</c:v>
                </c:pt>
                <c:pt idx="6">
                  <c:v>9</c:v>
                </c:pt>
                <c:pt idx="7">
                  <c:v>9</c:v>
                </c:pt>
              </c:numCache>
            </c:numRef>
          </c:val>
          <c:extLst>
            <c:ext xmlns:c16="http://schemas.microsoft.com/office/drawing/2014/chart" uri="{C3380CC4-5D6E-409C-BE32-E72D297353CC}">
              <c16:uniqueId val="{00000001-9AE5-4CEE-8CE3-D8D9960AD4C8}"/>
            </c:ext>
          </c:extLst>
        </c:ser>
        <c:dLbls>
          <c:dLblPos val="outEnd"/>
          <c:showLegendKey val="0"/>
          <c:showVal val="1"/>
          <c:showCatName val="0"/>
          <c:showSerName val="0"/>
          <c:showPercent val="0"/>
          <c:showBubbleSize val="0"/>
        </c:dLbls>
        <c:gapWidth val="219"/>
        <c:overlap val="-27"/>
        <c:axId val="2039879520"/>
        <c:axId val="2039887680"/>
      </c:barChart>
      <c:catAx>
        <c:axId val="203987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87680"/>
        <c:crosses val="autoZero"/>
        <c:auto val="1"/>
        <c:lblAlgn val="ctr"/>
        <c:lblOffset val="100"/>
        <c:noMultiLvlLbl val="0"/>
      </c:catAx>
      <c:valAx>
        <c:axId val="2039887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!Overallcompletion</c:name>
    <c:fmtId val="1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0908044389187"/>
          <c:y val="7.8014184397163122E-2"/>
          <c:w val="0.83488248179503877"/>
          <c:h val="0.75745909420896851"/>
        </c:manualLayout>
      </c:layout>
      <c:barChart>
        <c:barDir val="col"/>
        <c:grouping val="clustered"/>
        <c:varyColors val="0"/>
        <c:ser>
          <c:idx val="0"/>
          <c:order val="0"/>
          <c:tx>
            <c:strRef>
              <c:f>'Pivot_sheet '!$J$2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'!$I$3:$I$4</c:f>
              <c:strCache>
                <c:ptCount val="2"/>
                <c:pt idx="0">
                  <c:v>Churned</c:v>
                </c:pt>
                <c:pt idx="1">
                  <c:v>Completed</c:v>
                </c:pt>
              </c:strCache>
            </c:strRef>
          </c:cat>
          <c:val>
            <c:numRef>
              <c:f>'Pivot_sheet '!$J$3:$J$4</c:f>
              <c:numCache>
                <c:formatCode>General</c:formatCode>
                <c:ptCount val="2"/>
                <c:pt idx="0">
                  <c:v>82</c:v>
                </c:pt>
                <c:pt idx="1">
                  <c:v>68</c:v>
                </c:pt>
              </c:numCache>
            </c:numRef>
          </c:val>
          <c:extLst>
            <c:ext xmlns:c16="http://schemas.microsoft.com/office/drawing/2014/chart" uri="{C3380CC4-5D6E-409C-BE32-E72D297353CC}">
              <c16:uniqueId val="{00000000-D959-4BA4-95F8-79EFCEFC4D92}"/>
            </c:ext>
          </c:extLst>
        </c:ser>
        <c:dLbls>
          <c:dLblPos val="outEnd"/>
          <c:showLegendKey val="0"/>
          <c:showVal val="1"/>
          <c:showCatName val="0"/>
          <c:showSerName val="0"/>
          <c:showPercent val="0"/>
          <c:showBubbleSize val="0"/>
        </c:dLbls>
        <c:gapWidth val="219"/>
        <c:overlap val="-27"/>
        <c:axId val="205337520"/>
        <c:axId val="205340400"/>
      </c:barChart>
      <c:catAx>
        <c:axId val="2053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0400"/>
        <c:crosses val="autoZero"/>
        <c:auto val="1"/>
        <c:lblAlgn val="ctr"/>
        <c:lblOffset val="100"/>
        <c:noMultiLvlLbl val="0"/>
      </c:catAx>
      <c:valAx>
        <c:axId val="20534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!Revenueloss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 '!$B$14</c:f>
              <c:strCache>
                <c:ptCount val="1"/>
                <c:pt idx="0">
                  <c:v>Total</c:v>
                </c:pt>
              </c:strCache>
            </c:strRef>
          </c:tx>
          <c:spPr>
            <a:solidFill>
              <a:schemeClr val="accent2"/>
            </a:solidFill>
            <a:ln>
              <a:noFill/>
            </a:ln>
            <a:effectLst/>
          </c:spPr>
          <c:invertIfNegative val="0"/>
          <c:cat>
            <c:strRef>
              <c:f>'Pivot_sheet '!$A$15:$A$23</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'!$B$15:$B$23</c:f>
              <c:numCache>
                <c:formatCode>General</c:formatCode>
                <c:ptCount val="8"/>
                <c:pt idx="0">
                  <c:v>8000</c:v>
                </c:pt>
                <c:pt idx="1">
                  <c:v>9000</c:v>
                </c:pt>
                <c:pt idx="2">
                  <c:v>5500</c:v>
                </c:pt>
                <c:pt idx="3">
                  <c:v>9000</c:v>
                </c:pt>
                <c:pt idx="4">
                  <c:v>8000</c:v>
                </c:pt>
                <c:pt idx="5">
                  <c:v>9000</c:v>
                </c:pt>
                <c:pt idx="6">
                  <c:v>7000</c:v>
                </c:pt>
                <c:pt idx="7">
                  <c:v>5500</c:v>
                </c:pt>
              </c:numCache>
            </c:numRef>
          </c:val>
          <c:extLst>
            <c:ext xmlns:c16="http://schemas.microsoft.com/office/drawing/2014/chart" uri="{C3380CC4-5D6E-409C-BE32-E72D297353CC}">
              <c16:uniqueId val="{00000000-0CCF-430E-907F-75F15CF5C920}"/>
            </c:ext>
          </c:extLst>
        </c:ser>
        <c:dLbls>
          <c:showLegendKey val="0"/>
          <c:showVal val="0"/>
          <c:showCatName val="0"/>
          <c:showSerName val="0"/>
          <c:showPercent val="0"/>
          <c:showBubbleSize val="0"/>
        </c:dLbls>
        <c:gapWidth val="219"/>
        <c:overlap val="-27"/>
        <c:axId val="154677984"/>
        <c:axId val="154656864"/>
      </c:barChart>
      <c:catAx>
        <c:axId val="15467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6864"/>
        <c:crosses val="autoZero"/>
        <c:auto val="1"/>
        <c:lblAlgn val="ctr"/>
        <c:lblOffset val="100"/>
        <c:noMultiLvlLbl val="0"/>
      </c:catAx>
      <c:valAx>
        <c:axId val="1546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!PivotTable4</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'Pivot_sheet '!$G$14</c:f>
              <c:strCache>
                <c:ptCount val="1"/>
                <c:pt idx="0">
                  <c:v>Vs Loss of revenue</c:v>
                </c:pt>
              </c:strCache>
            </c:strRef>
          </c:tx>
          <c:spPr>
            <a:solidFill>
              <a:schemeClr val="accent2"/>
            </a:solidFill>
            <a:ln>
              <a:noFill/>
            </a:ln>
            <a:effectLst/>
          </c:spPr>
          <c:invertIfNegative val="0"/>
          <c:cat>
            <c:strRef>
              <c:f>'Pivot_sheet '!$E$15:$E$22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'!$G$15:$G$22</c:f>
              <c:numCache>
                <c:formatCode>0.00</c:formatCode>
                <c:ptCount val="8"/>
                <c:pt idx="0">
                  <c:v>8000</c:v>
                </c:pt>
                <c:pt idx="1">
                  <c:v>9000</c:v>
                </c:pt>
                <c:pt idx="2">
                  <c:v>5500</c:v>
                </c:pt>
                <c:pt idx="3">
                  <c:v>9000</c:v>
                </c:pt>
                <c:pt idx="4">
                  <c:v>8000</c:v>
                </c:pt>
                <c:pt idx="5">
                  <c:v>9000</c:v>
                </c:pt>
                <c:pt idx="6">
                  <c:v>7000</c:v>
                </c:pt>
                <c:pt idx="7">
                  <c:v>5500</c:v>
                </c:pt>
              </c:numCache>
            </c:numRef>
          </c:val>
          <c:extLst>
            <c:ext xmlns:c16="http://schemas.microsoft.com/office/drawing/2014/chart" uri="{C3380CC4-5D6E-409C-BE32-E72D297353CC}">
              <c16:uniqueId val="{00000001-77B1-44B6-8B20-68C607F3026B}"/>
            </c:ext>
          </c:extLst>
        </c:ser>
        <c:dLbls>
          <c:showLegendKey val="0"/>
          <c:showVal val="0"/>
          <c:showCatName val="0"/>
          <c:showSerName val="0"/>
          <c:showPercent val="0"/>
          <c:showBubbleSize val="0"/>
        </c:dLbls>
        <c:gapWidth val="219"/>
        <c:axId val="2039882400"/>
        <c:axId val="2039877120"/>
      </c:barChart>
      <c:lineChart>
        <c:grouping val="standard"/>
        <c:varyColors val="0"/>
        <c:ser>
          <c:idx val="0"/>
          <c:order val="0"/>
          <c:tx>
            <c:strRef>
              <c:f>'Pivot_sheet '!$F$14</c:f>
              <c:strCache>
                <c:ptCount val="1"/>
                <c:pt idx="0">
                  <c:v>Inactivity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'Pivot_sheet '!$E$15:$E$22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'!$F$15:$F$22</c:f>
              <c:numCache>
                <c:formatCode>0.00</c:formatCode>
                <c:ptCount val="8"/>
                <c:pt idx="0">
                  <c:v>32.5</c:v>
                </c:pt>
                <c:pt idx="1">
                  <c:v>27.111111111111111</c:v>
                </c:pt>
                <c:pt idx="2">
                  <c:v>17.214285714285715</c:v>
                </c:pt>
                <c:pt idx="3">
                  <c:v>28.857142857142858</c:v>
                </c:pt>
                <c:pt idx="4">
                  <c:v>23.61904761904762</c:v>
                </c:pt>
                <c:pt idx="5">
                  <c:v>10.761904761904763</c:v>
                </c:pt>
                <c:pt idx="6">
                  <c:v>24</c:v>
                </c:pt>
                <c:pt idx="7">
                  <c:v>29.470588235294116</c:v>
                </c:pt>
              </c:numCache>
            </c:numRef>
          </c:val>
          <c:smooth val="0"/>
          <c:extLst>
            <c:ext xmlns:c16="http://schemas.microsoft.com/office/drawing/2014/chart" uri="{C3380CC4-5D6E-409C-BE32-E72D297353CC}">
              <c16:uniqueId val="{00000000-77B1-44B6-8B20-68C607F3026B}"/>
            </c:ext>
          </c:extLst>
        </c:ser>
        <c:dLbls>
          <c:showLegendKey val="0"/>
          <c:showVal val="0"/>
          <c:showCatName val="0"/>
          <c:showSerName val="0"/>
          <c:showPercent val="0"/>
          <c:showBubbleSize val="0"/>
        </c:dLbls>
        <c:marker val="1"/>
        <c:smooth val="0"/>
        <c:axId val="205364880"/>
        <c:axId val="205364400"/>
      </c:lineChart>
      <c:catAx>
        <c:axId val="203988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77120"/>
        <c:crosses val="autoZero"/>
        <c:auto val="1"/>
        <c:lblAlgn val="ctr"/>
        <c:lblOffset val="100"/>
        <c:noMultiLvlLbl val="0"/>
      </c:catAx>
      <c:valAx>
        <c:axId val="2039877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82400"/>
        <c:crosses val="autoZero"/>
        <c:crossBetween val="between"/>
      </c:valAx>
      <c:valAx>
        <c:axId val="2053644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4880"/>
        <c:crosses val="max"/>
        <c:crossBetween val="between"/>
      </c:valAx>
      <c:catAx>
        <c:axId val="205364880"/>
        <c:scaling>
          <c:orientation val="minMax"/>
        </c:scaling>
        <c:delete val="1"/>
        <c:axPos val="b"/>
        <c:numFmt formatCode="General" sourceLinked="1"/>
        <c:majorTickMark val="none"/>
        <c:minorTickMark val="none"/>
        <c:tickLblPos val="nextTo"/>
        <c:crossAx val="205364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'Pivot_sheet '!$B$25:$B$26</c:f>
              <c:strCache>
                <c:ptCount val="1"/>
                <c:pt idx="0">
                  <c:v>Churned</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79-4DB6-9506-2A7706D519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79-4DB6-9506-2A7706D519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79-4DB6-9506-2A7706D519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79-4DB6-9506-2A7706D519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'Pivot_sheet '!$A$27:$A$30</c:f>
              <c:strCache>
                <c:ptCount val="4"/>
                <c:pt idx="0">
                  <c:v>Analytics</c:v>
                </c:pt>
                <c:pt idx="1">
                  <c:v>Marketing</c:v>
                </c:pt>
                <c:pt idx="2">
                  <c:v>Productivity</c:v>
                </c:pt>
                <c:pt idx="3">
                  <c:v>Programming</c:v>
                </c:pt>
              </c:strCache>
            </c:strRef>
          </c:cat>
          <c:val>
            <c:numRef>
              <c:f>'Pivot_sheet '!$B$27:$B$30</c:f>
              <c:numCache>
                <c:formatCode>General</c:formatCode>
                <c:ptCount val="4"/>
                <c:pt idx="0">
                  <c:v>36</c:v>
                </c:pt>
                <c:pt idx="1">
                  <c:v>13</c:v>
                </c:pt>
                <c:pt idx="2">
                  <c:v>24</c:v>
                </c:pt>
                <c:pt idx="3">
                  <c:v>9</c:v>
                </c:pt>
              </c:numCache>
            </c:numRef>
          </c:val>
          <c:extLst>
            <c:ext xmlns:c16="http://schemas.microsoft.com/office/drawing/2014/chart" uri="{C3380CC4-5D6E-409C-BE32-E72D297353CC}">
              <c16:uniqueId val="{00000000-6FC6-45BA-BEE0-3EEB269B80AB}"/>
            </c:ext>
          </c:extLst>
        </c:ser>
        <c:ser>
          <c:idx val="1"/>
          <c:order val="1"/>
          <c:tx>
            <c:strRef>
              <c:f>'Pivot_sheet '!$C$25:$C$26</c:f>
              <c:strCache>
                <c:ptCount val="1"/>
                <c:pt idx="0">
                  <c:v>Completed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379-4DB6-9506-2A7706D519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379-4DB6-9506-2A7706D519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E379-4DB6-9506-2A7706D519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E379-4DB6-9506-2A7706D519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'Pivot_sheet '!$A$27:$A$30</c:f>
              <c:strCache>
                <c:ptCount val="4"/>
                <c:pt idx="0">
                  <c:v>Analytics</c:v>
                </c:pt>
                <c:pt idx="1">
                  <c:v>Marketing</c:v>
                </c:pt>
                <c:pt idx="2">
                  <c:v>Productivity</c:v>
                </c:pt>
                <c:pt idx="3">
                  <c:v>Programming</c:v>
                </c:pt>
              </c:strCache>
            </c:strRef>
          </c:cat>
          <c:val>
            <c:numRef>
              <c:f>'Pivot_sheet '!$C$27:$C$30</c:f>
              <c:numCache>
                <c:formatCode>General</c:formatCode>
                <c:ptCount val="4"/>
                <c:pt idx="0">
                  <c:v>34</c:v>
                </c:pt>
                <c:pt idx="1">
                  <c:v>8</c:v>
                </c:pt>
                <c:pt idx="2">
                  <c:v>17</c:v>
                </c:pt>
                <c:pt idx="3">
                  <c:v>9</c:v>
                </c:pt>
              </c:numCache>
            </c:numRef>
          </c:val>
          <c:extLst>
            <c:ext xmlns:c16="http://schemas.microsoft.com/office/drawing/2014/chart" uri="{C3380CC4-5D6E-409C-BE32-E72D297353CC}">
              <c16:uniqueId val="{00000001-6FC6-45BA-BEE0-3EEB269B80A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!Completionbycourse</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i="0" u="none" strike="noStrike" baseline="0"/>
              <a:t>Course-wise Student Outcomes: Completed vs Churned</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 '!$B$2:$B$3</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'!$A$4:$A$12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'!$B$4:$B$12</c:f>
              <c:numCache>
                <c:formatCode>General</c:formatCode>
                <c:ptCount val="8"/>
                <c:pt idx="0">
                  <c:v>12</c:v>
                </c:pt>
                <c:pt idx="1">
                  <c:v>6</c:v>
                </c:pt>
                <c:pt idx="2">
                  <c:v>9</c:v>
                </c:pt>
                <c:pt idx="3">
                  <c:v>13</c:v>
                </c:pt>
                <c:pt idx="4">
                  <c:v>12</c:v>
                </c:pt>
                <c:pt idx="5">
                  <c:v>13</c:v>
                </c:pt>
                <c:pt idx="6">
                  <c:v>9</c:v>
                </c:pt>
                <c:pt idx="7">
                  <c:v>8</c:v>
                </c:pt>
              </c:numCache>
            </c:numRef>
          </c:val>
          <c:extLst>
            <c:ext xmlns:c16="http://schemas.microsoft.com/office/drawing/2014/chart" uri="{C3380CC4-5D6E-409C-BE32-E72D297353CC}">
              <c16:uniqueId val="{00000000-1EBE-4E2C-B3D2-262D256D2DE4}"/>
            </c:ext>
          </c:extLst>
        </c:ser>
        <c:ser>
          <c:idx val="1"/>
          <c:order val="1"/>
          <c:tx>
            <c:strRef>
              <c:f>'Pivot_sheet '!$C$2:$C$3</c:f>
              <c:strCache>
                <c:ptCount val="1"/>
                <c:pt idx="0">
                  <c:v>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'!$A$4:$A$12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'!$C$4:$C$12</c:f>
              <c:numCache>
                <c:formatCode>General</c:formatCode>
                <c:ptCount val="8"/>
                <c:pt idx="0">
                  <c:v>8</c:v>
                </c:pt>
                <c:pt idx="1">
                  <c:v>12</c:v>
                </c:pt>
                <c:pt idx="2">
                  <c:v>5</c:v>
                </c:pt>
                <c:pt idx="3">
                  <c:v>8</c:v>
                </c:pt>
                <c:pt idx="4">
                  <c:v>9</c:v>
                </c:pt>
                <c:pt idx="5">
                  <c:v>8</c:v>
                </c:pt>
                <c:pt idx="6">
                  <c:v>9</c:v>
                </c:pt>
                <c:pt idx="7">
                  <c:v>9</c:v>
                </c:pt>
              </c:numCache>
            </c:numRef>
          </c:val>
          <c:extLst>
            <c:ext xmlns:c16="http://schemas.microsoft.com/office/drawing/2014/chart" uri="{C3380CC4-5D6E-409C-BE32-E72D297353CC}">
              <c16:uniqueId val="{00000001-1EBE-4E2C-B3D2-262D256D2DE4}"/>
            </c:ext>
          </c:extLst>
        </c:ser>
        <c:dLbls>
          <c:dLblPos val="outEnd"/>
          <c:showLegendKey val="0"/>
          <c:showVal val="1"/>
          <c:showCatName val="0"/>
          <c:showSerName val="0"/>
          <c:showPercent val="0"/>
          <c:showBubbleSize val="0"/>
        </c:dLbls>
        <c:gapWidth val="219"/>
        <c:overlap val="-27"/>
        <c:axId val="2039879520"/>
        <c:axId val="2039887680"/>
      </c:barChart>
      <c:catAx>
        <c:axId val="203987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87680"/>
        <c:crosses val="autoZero"/>
        <c:auto val="1"/>
        <c:lblAlgn val="ctr"/>
        <c:lblOffset val="100"/>
        <c:noMultiLvlLbl val="0"/>
      </c:catAx>
      <c:valAx>
        <c:axId val="2039887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!Overallcompletion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Overall Student Retention vs Churn Overview</a:t>
            </a:r>
            <a:endParaRPr lang="en-IN" sz="1000" b="1">
              <a:solidFill>
                <a:schemeClr val="tx1"/>
              </a:solidFill>
            </a:endParaRPr>
          </a:p>
        </c:rich>
      </c:tx>
      <c:layout>
        <c:manualLayout>
          <c:xMode val="edge"/>
          <c:yMode val="edge"/>
          <c:x val="0.17284082696184716"/>
          <c:y val="4.459317585301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 '!$J$2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'!$I$3:$I$4</c:f>
              <c:strCache>
                <c:ptCount val="2"/>
                <c:pt idx="0">
                  <c:v>Churned</c:v>
                </c:pt>
                <c:pt idx="1">
                  <c:v>Completed</c:v>
                </c:pt>
              </c:strCache>
            </c:strRef>
          </c:cat>
          <c:val>
            <c:numRef>
              <c:f>'Pivot_sheet '!$J$3:$J$4</c:f>
              <c:numCache>
                <c:formatCode>General</c:formatCode>
                <c:ptCount val="2"/>
                <c:pt idx="0">
                  <c:v>82</c:v>
                </c:pt>
                <c:pt idx="1">
                  <c:v>68</c:v>
                </c:pt>
              </c:numCache>
            </c:numRef>
          </c:val>
          <c:extLst>
            <c:ext xmlns:c16="http://schemas.microsoft.com/office/drawing/2014/chart" uri="{C3380CC4-5D6E-409C-BE32-E72D297353CC}">
              <c16:uniqueId val="{00000000-C23B-42EF-8AA9-8190FADEF895}"/>
            </c:ext>
          </c:extLst>
        </c:ser>
        <c:dLbls>
          <c:dLblPos val="outEnd"/>
          <c:showLegendKey val="0"/>
          <c:showVal val="1"/>
          <c:showCatName val="0"/>
          <c:showSerName val="0"/>
          <c:showPercent val="0"/>
          <c:showBubbleSize val="0"/>
        </c:dLbls>
        <c:gapWidth val="219"/>
        <c:overlap val="-27"/>
        <c:axId val="205337520"/>
        <c:axId val="205340400"/>
      </c:barChart>
      <c:catAx>
        <c:axId val="2053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0400"/>
        <c:crosses val="autoZero"/>
        <c:auto val="1"/>
        <c:lblAlgn val="ctr"/>
        <c:lblOffset val="100"/>
        <c:noMultiLvlLbl val="0"/>
      </c:catAx>
      <c:valAx>
        <c:axId val="20534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!Revenueloss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Revenue Loss by Course</a:t>
            </a:r>
            <a:endParaRPr lang="en-IN" sz="1000" b="1">
              <a:solidFill>
                <a:schemeClr val="tx1"/>
              </a:solidFill>
            </a:endParaRPr>
          </a:p>
        </c:rich>
      </c:tx>
      <c:layout>
        <c:manualLayout>
          <c:xMode val="edge"/>
          <c:yMode val="edge"/>
          <c:x val="0.2368119266055046"/>
          <c:y val="3.484320557491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 '!$B$14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 '!$A$15:$A$23</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'!$B$15:$B$23</c:f>
              <c:numCache>
                <c:formatCode>General</c:formatCode>
                <c:ptCount val="8"/>
                <c:pt idx="0">
                  <c:v>8000</c:v>
                </c:pt>
                <c:pt idx="1">
                  <c:v>9000</c:v>
                </c:pt>
                <c:pt idx="2">
                  <c:v>5500</c:v>
                </c:pt>
                <c:pt idx="3">
                  <c:v>9000</c:v>
                </c:pt>
                <c:pt idx="4">
                  <c:v>8000</c:v>
                </c:pt>
                <c:pt idx="5">
                  <c:v>9000</c:v>
                </c:pt>
                <c:pt idx="6">
                  <c:v>7000</c:v>
                </c:pt>
                <c:pt idx="7">
                  <c:v>5500</c:v>
                </c:pt>
              </c:numCache>
            </c:numRef>
          </c:val>
          <c:extLst>
            <c:ext xmlns:c16="http://schemas.microsoft.com/office/drawing/2014/chart" uri="{C3380CC4-5D6E-409C-BE32-E72D297353CC}">
              <c16:uniqueId val="{00000000-3442-4A70-BA07-1B1239C63279}"/>
            </c:ext>
          </c:extLst>
        </c:ser>
        <c:dLbls>
          <c:dLblPos val="outEnd"/>
          <c:showLegendKey val="0"/>
          <c:showVal val="1"/>
          <c:showCatName val="0"/>
          <c:showSerName val="0"/>
          <c:showPercent val="0"/>
          <c:showBubbleSize val="0"/>
        </c:dLbls>
        <c:gapWidth val="219"/>
        <c:overlap val="-27"/>
        <c:axId val="154677984"/>
        <c:axId val="154656864"/>
      </c:barChart>
      <c:catAx>
        <c:axId val="15467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6864"/>
        <c:crosses val="autoZero"/>
        <c:auto val="1"/>
        <c:lblAlgn val="ctr"/>
        <c:lblOffset val="100"/>
        <c:noMultiLvlLbl val="0"/>
      </c:catAx>
      <c:valAx>
        <c:axId val="1546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7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[edtech_student_churn_dataset Final.xlsx]Pivot_sheet !PivotTable4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Student Inactivity vs Revenue Impact</a:t>
            </a:r>
            <a:endParaRPr lang="en-IN"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'Pivot_sheet '!$G$14</c:f>
              <c:strCache>
                <c:ptCount val="1"/>
                <c:pt idx="0">
                  <c:v>Vs Loss of revenue</c:v>
                </c:pt>
              </c:strCache>
            </c:strRef>
          </c:tx>
          <c:spPr>
            <a:solidFill>
              <a:schemeClr val="accent2"/>
            </a:solidFill>
            <a:ln>
              <a:noFill/>
            </a:ln>
            <a:effectLst/>
          </c:spPr>
          <c:invertIfNegative val="0"/>
          <c:cat>
            <c:strRef>
              <c:f>'Pivot_sheet '!$E$15:$E$22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'!$G$15:$G$22</c:f>
              <c:numCache>
                <c:formatCode>0.00</c:formatCode>
                <c:ptCount val="8"/>
                <c:pt idx="0">
                  <c:v>8000</c:v>
                </c:pt>
                <c:pt idx="1">
                  <c:v>9000</c:v>
                </c:pt>
                <c:pt idx="2">
                  <c:v>5500</c:v>
                </c:pt>
                <c:pt idx="3">
                  <c:v>9000</c:v>
                </c:pt>
                <c:pt idx="4">
                  <c:v>8000</c:v>
                </c:pt>
                <c:pt idx="5">
                  <c:v>9000</c:v>
                </c:pt>
                <c:pt idx="6">
                  <c:v>7000</c:v>
                </c:pt>
                <c:pt idx="7">
                  <c:v>5500</c:v>
                </c:pt>
              </c:numCache>
            </c:numRef>
          </c:val>
          <c:extLst>
            <c:ext xmlns:c16="http://schemas.microsoft.com/office/drawing/2014/chart" uri="{C3380CC4-5D6E-409C-BE32-E72D297353CC}">
              <c16:uniqueId val="{00000000-CF49-41BB-A337-17BC9C31D572}"/>
            </c:ext>
          </c:extLst>
        </c:ser>
        <c:dLbls>
          <c:showLegendKey val="0"/>
          <c:showVal val="0"/>
          <c:showCatName val="0"/>
          <c:showSerName val="0"/>
          <c:showPercent val="0"/>
          <c:showBubbleSize val="0"/>
        </c:dLbls>
        <c:gapWidth val="219"/>
        <c:axId val="2039882400"/>
        <c:axId val="2039877120"/>
      </c:barChart>
      <c:lineChart>
        <c:grouping val="standard"/>
        <c:varyColors val="0"/>
        <c:ser>
          <c:idx val="0"/>
          <c:order val="0"/>
          <c:tx>
            <c:strRef>
              <c:f>'Pivot_sheet '!$F$14</c:f>
              <c:strCache>
                <c:ptCount val="1"/>
                <c:pt idx="0">
                  <c:v>Inactivity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'Pivot_sheet '!$E$15:$E$22</c:f>
              <c:strCache>
                <c:ptCount val="8"/>
                <c:pt idx="0">
                  <c:v>Advanced Excel</c:v>
                </c:pt>
                <c:pt idx="1">
                  <c:v>Business Analysis Fundamentals</c:v>
                </c:pt>
                <c:pt idx="2">
                  <c:v>Data Analytics Bootcamp</c:v>
                </c:pt>
                <c:pt idx="3">
                  <c:v>Digital Marketing Pro</c:v>
                </c:pt>
                <c:pt idx="4">
                  <c:v>Excel For Beginners</c:v>
                </c:pt>
                <c:pt idx="5">
                  <c:v>Power Bi Complete Guide</c:v>
                </c:pt>
                <c:pt idx="6">
                  <c:v>Python For Data Science</c:v>
                </c:pt>
                <c:pt idx="7">
                  <c:v>Sql Mastery</c:v>
                </c:pt>
              </c:strCache>
            </c:strRef>
          </c:cat>
          <c:val>
            <c:numRef>
              <c:f>'Pivot_sheet '!$F$15:$F$22</c:f>
              <c:numCache>
                <c:formatCode>0.00</c:formatCode>
                <c:ptCount val="8"/>
                <c:pt idx="0">
                  <c:v>32.5</c:v>
                </c:pt>
                <c:pt idx="1">
                  <c:v>27.111111111111111</c:v>
                </c:pt>
                <c:pt idx="2">
                  <c:v>17.214285714285715</c:v>
                </c:pt>
                <c:pt idx="3">
                  <c:v>28.857142857142858</c:v>
                </c:pt>
                <c:pt idx="4">
                  <c:v>23.61904761904762</c:v>
                </c:pt>
                <c:pt idx="5">
                  <c:v>10.761904761904763</c:v>
                </c:pt>
                <c:pt idx="6">
                  <c:v>24</c:v>
                </c:pt>
                <c:pt idx="7">
                  <c:v>29.470588235294116</c:v>
                </c:pt>
              </c:numCache>
            </c:numRef>
          </c:val>
          <c:smooth val="0"/>
          <c:extLst>
            <c:ext xmlns:c16="http://schemas.microsoft.com/office/drawing/2014/chart" uri="{C3380CC4-5D6E-409C-BE32-E72D297353CC}">
              <c16:uniqueId val="{00000001-CF49-41BB-A337-17BC9C31D572}"/>
            </c:ext>
          </c:extLst>
        </c:ser>
        <c:dLbls>
          <c:showLegendKey val="0"/>
          <c:showVal val="0"/>
          <c:showCatName val="0"/>
          <c:showSerName val="0"/>
          <c:showPercent val="0"/>
          <c:showBubbleSize val="0"/>
        </c:dLbls>
        <c:marker val="1"/>
        <c:smooth val="0"/>
        <c:axId val="205364880"/>
        <c:axId val="205364400"/>
      </c:lineChart>
      <c:catAx>
        <c:axId val="203988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77120"/>
        <c:crosses val="autoZero"/>
        <c:auto val="1"/>
        <c:lblAlgn val="ctr"/>
        <c:lblOffset val="100"/>
        <c:noMultiLvlLbl val="0"/>
      </c:catAx>
      <c:valAx>
        <c:axId val="2039877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82400"/>
        <c:crosses val="autoZero"/>
        <c:crossBetween val="between"/>
      </c:valAx>
      <c:valAx>
        <c:axId val="2053644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4880"/>
        <c:crosses val="max"/>
        <c:crossBetween val="between"/>
      </c:valAx>
      <c:catAx>
        <c:axId val="205364880"/>
        <c:scaling>
          <c:orientation val="minMax"/>
        </c:scaling>
        <c:delete val="1"/>
        <c:axPos val="b"/>
        <c:numFmt formatCode="General" sourceLinked="1"/>
        <c:majorTickMark val="none"/>
        <c:minorTickMark val="none"/>
        <c:tickLblPos val="nextTo"/>
        <c:crossAx val="20536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Clean_data!A1"/><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Pivot_sheet '!A1"/><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3</xdr:col>
      <xdr:colOff>198120</xdr:colOff>
      <xdr:row>2</xdr:row>
      <xdr:rowOff>15240</xdr:rowOff>
    </xdr:from>
    <xdr:to>
      <xdr:col>5</xdr:col>
      <xdr:colOff>388620</xdr:colOff>
      <xdr:row>4</xdr:row>
      <xdr:rowOff>30480</xdr:rowOff>
    </xdr:to>
    <xdr:sp macro="" textlink="B3">
      <xdr:nvSpPr>
        <xdr:cNvPr id="3" name="Rectangle 2">
          <a:extLst>
            <a:ext uri="{FF2B5EF4-FFF2-40B4-BE49-F238E27FC236}">
              <a16:creationId xmlns:a16="http://schemas.microsoft.com/office/drawing/2014/main" id="{1A6E17CB-05BB-5887-1E0E-7B5C95866142}"/>
            </a:ext>
          </a:extLst>
        </xdr:cNvPr>
        <xdr:cNvSpPr/>
      </xdr:nvSpPr>
      <xdr:spPr>
        <a:xfrm>
          <a:off x="3002280" y="426720"/>
          <a:ext cx="1562100" cy="4114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FBF6805-FA2D-4ABC-8D89-DC421EF51F23}" type="TxLink">
            <a:rPr lang="en-US" sz="1200" b="1" i="0" u="none" strike="noStrike">
              <a:solidFill>
                <a:srgbClr val="000000"/>
              </a:solidFill>
              <a:latin typeface="Calibri"/>
              <a:ea typeface="Calibri"/>
              <a:cs typeface="Calibri"/>
            </a:rPr>
            <a:pPr algn="l"/>
            <a:t>150</a:t>
          </a:fld>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144780</xdr:colOff>
      <xdr:row>0</xdr:row>
      <xdr:rowOff>30481</xdr:rowOff>
    </xdr:from>
    <xdr:to>
      <xdr:col>5</xdr:col>
      <xdr:colOff>121920</xdr:colOff>
      <xdr:row>8</xdr:row>
      <xdr:rowOff>60961</xdr:rowOff>
    </xdr:to>
    <mc:AlternateContent xmlns:mc="http://schemas.openxmlformats.org/markup-compatibility/2006" xmlns:a14="http://schemas.microsoft.com/office/drawing/2010/main">
      <mc:Choice Requires="a14">
        <xdr:graphicFrame macro="">
          <xdr:nvGraphicFramePr>
            <xdr:cNvPr id="2" name="Course category">
              <a:extLst>
                <a:ext uri="{FF2B5EF4-FFF2-40B4-BE49-F238E27FC236}">
                  <a16:creationId xmlns:a16="http://schemas.microsoft.com/office/drawing/2014/main" id="{CB4644DA-808D-48C7-BBA9-254D0C92FF0C}"/>
                </a:ext>
              </a:extLst>
            </xdr:cNvPr>
            <xdr:cNvGraphicFramePr/>
          </xdr:nvGraphicFramePr>
          <xdr:xfrm>
            <a:off x="0" y="0"/>
            <a:ext cx="0" cy="0"/>
          </xdr:xfrm>
          <a:graphic>
            <a:graphicData uri="http://schemas.microsoft.com/office/drawing/2010/slicer">
              <sle:slicer xmlns:sle="http://schemas.microsoft.com/office/drawing/2010/slicer" name="Course category"/>
            </a:graphicData>
          </a:graphic>
        </xdr:graphicFrame>
      </mc:Choice>
      <mc:Fallback xmlns="">
        <xdr:sp macro="" textlink="">
          <xdr:nvSpPr>
            <xdr:cNvPr id="0" name=""/>
            <xdr:cNvSpPr>
              <a:spLocks noTextEdit="1"/>
            </xdr:cNvSpPr>
          </xdr:nvSpPr>
          <xdr:spPr>
            <a:xfrm>
              <a:off x="4320540" y="3048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1</xdr:row>
      <xdr:rowOff>22860</xdr:rowOff>
    </xdr:from>
    <xdr:to>
      <xdr:col>7</xdr:col>
      <xdr:colOff>1104900</xdr:colOff>
      <xdr:row>11</xdr:row>
      <xdr:rowOff>99060</xdr:rowOff>
    </xdr:to>
    <xdr:graphicFrame macro="">
      <xdr:nvGraphicFramePr>
        <xdr:cNvPr id="3" name="Chart 2">
          <a:extLst>
            <a:ext uri="{FF2B5EF4-FFF2-40B4-BE49-F238E27FC236}">
              <a16:creationId xmlns:a16="http://schemas.microsoft.com/office/drawing/2014/main" id="{691D302A-F3AA-186F-0098-E9CCD4886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182880</xdr:colOff>
      <xdr:row>0</xdr:row>
      <xdr:rowOff>99060</xdr:rowOff>
    </xdr:from>
    <xdr:to>
      <xdr:col>13</xdr:col>
      <xdr:colOff>365760</xdr:colOff>
      <xdr:row>10</xdr:row>
      <xdr:rowOff>60960</xdr:rowOff>
    </xdr:to>
    <xdr:graphicFrame macro="">
      <xdr:nvGraphicFramePr>
        <xdr:cNvPr id="9" name="Chart 8">
          <a:extLst>
            <a:ext uri="{FF2B5EF4-FFF2-40B4-BE49-F238E27FC236}">
              <a16:creationId xmlns:a16="http://schemas.microsoft.com/office/drawing/2014/main" id="{2B478897-C797-936D-0AC5-8D107C4F3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1234440</xdr:colOff>
      <xdr:row>5</xdr:row>
      <xdr:rowOff>22860</xdr:rowOff>
    </xdr:from>
    <xdr:to>
      <xdr:col>10</xdr:col>
      <xdr:colOff>15240</xdr:colOff>
      <xdr:row>17</xdr:row>
      <xdr:rowOff>30480</xdr:rowOff>
    </xdr:to>
    <xdr:graphicFrame macro="">
      <xdr:nvGraphicFramePr>
        <xdr:cNvPr id="13" name="Chart 12">
          <a:extLst>
            <a:ext uri="{FF2B5EF4-FFF2-40B4-BE49-F238E27FC236}">
              <a16:creationId xmlns:a16="http://schemas.microsoft.com/office/drawing/2014/main" id="{5A09C6BE-51F7-3172-7230-EF2F3498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533400</xdr:colOff>
      <xdr:row>17</xdr:row>
      <xdr:rowOff>106680</xdr:rowOff>
    </xdr:from>
    <xdr:to>
      <xdr:col>9</xdr:col>
      <xdr:colOff>1943100</xdr:colOff>
      <xdr:row>31</xdr:row>
      <xdr:rowOff>114300</xdr:rowOff>
    </xdr:to>
    <xdr:graphicFrame macro="">
      <xdr:nvGraphicFramePr>
        <xdr:cNvPr id="14" name="Chart 13">
          <a:extLst>
            <a:ext uri="{FF2B5EF4-FFF2-40B4-BE49-F238E27FC236}">
              <a16:creationId xmlns:a16="http://schemas.microsoft.com/office/drawing/2014/main" id="{3F6EFD3C-D083-578E-76DF-3F6864F0D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152400</xdr:colOff>
      <xdr:row>11</xdr:row>
      <xdr:rowOff>121920</xdr:rowOff>
    </xdr:from>
    <xdr:to>
      <xdr:col>12</xdr:col>
      <xdr:colOff>312420</xdr:colOff>
      <xdr:row>23</xdr:row>
      <xdr:rowOff>30480</xdr:rowOff>
    </xdr:to>
    <xdr:graphicFrame macro="">
      <xdr:nvGraphicFramePr>
        <xdr:cNvPr id="16" name="Chart 15">
          <a:extLst>
            <a:ext uri="{FF2B5EF4-FFF2-40B4-BE49-F238E27FC236}">
              <a16:creationId xmlns:a16="http://schemas.microsoft.com/office/drawing/2014/main" id="{6820262A-AF73-3066-989C-E7D256E97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129540</xdr:rowOff>
    </xdr:from>
    <xdr:to>
      <xdr:col>22</xdr:col>
      <xdr:colOff>15240</xdr:colOff>
      <xdr:row>6</xdr:row>
      <xdr:rowOff>60960</xdr:rowOff>
    </xdr:to>
    <xdr:sp macro="" textlink="">
      <xdr:nvSpPr>
        <xdr:cNvPr id="3" name="Rectangle 2">
          <a:extLst>
            <a:ext uri="{FF2B5EF4-FFF2-40B4-BE49-F238E27FC236}">
              <a16:creationId xmlns:a16="http://schemas.microsoft.com/office/drawing/2014/main" id="{719DDB87-E623-0E4C-1636-2521B2714F31}"/>
            </a:ext>
          </a:extLst>
        </xdr:cNvPr>
        <xdr:cNvSpPr/>
      </xdr:nvSpPr>
      <xdr:spPr>
        <a:xfrm>
          <a:off x="152400" y="129540"/>
          <a:ext cx="14615160" cy="98298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157480</xdr:colOff>
      <xdr:row>0</xdr:row>
      <xdr:rowOff>137160</xdr:rowOff>
    </xdr:from>
    <xdr:to>
      <xdr:col>3</xdr:col>
      <xdr:colOff>64008</xdr:colOff>
      <xdr:row>6</xdr:row>
      <xdr:rowOff>60960</xdr:rowOff>
    </xdr:to>
    <xdr:pic>
      <xdr:nvPicPr>
        <xdr:cNvPr id="5" name="Picture 4">
          <a:extLst>
            <a:ext uri="{FF2B5EF4-FFF2-40B4-BE49-F238E27FC236}">
              <a16:creationId xmlns:a16="http://schemas.microsoft.com/office/drawing/2014/main" id="{86965B75-C5C9-95C6-26FA-362ED263B6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480" y="137160"/>
          <a:ext cx="1735328" cy="1021080"/>
        </a:xfrm>
        <a:prstGeom prst="rect">
          <a:avLst/>
        </a:prstGeom>
      </xdr:spPr>
    </xdr:pic>
    <xdr:clientData/>
  </xdr:twoCellAnchor>
  <xdr:twoCellAnchor>
    <xdr:from>
      <xdr:col>3</xdr:col>
      <xdr:colOff>327660</xdr:colOff>
      <xdr:row>1</xdr:row>
      <xdr:rowOff>99060</xdr:rowOff>
    </xdr:from>
    <xdr:to>
      <xdr:col>21</xdr:col>
      <xdr:colOff>487680</xdr:colOff>
      <xdr:row>5</xdr:row>
      <xdr:rowOff>0</xdr:rowOff>
    </xdr:to>
    <xdr:sp macro="" textlink="">
      <xdr:nvSpPr>
        <xdr:cNvPr id="6" name="Rectangle 5">
          <a:extLst>
            <a:ext uri="{FF2B5EF4-FFF2-40B4-BE49-F238E27FC236}">
              <a16:creationId xmlns:a16="http://schemas.microsoft.com/office/drawing/2014/main" id="{5E27D175-3995-1036-A7B7-24B254756EE2}"/>
            </a:ext>
          </a:extLst>
        </xdr:cNvPr>
        <xdr:cNvSpPr/>
      </xdr:nvSpPr>
      <xdr:spPr>
        <a:xfrm>
          <a:off x="2156460" y="281940"/>
          <a:ext cx="11132820" cy="63246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1</xdr:row>
      <xdr:rowOff>160020</xdr:rowOff>
    </xdr:from>
    <xdr:to>
      <xdr:col>13</xdr:col>
      <xdr:colOff>472440</xdr:colOff>
      <xdr:row>4</xdr:row>
      <xdr:rowOff>160020</xdr:rowOff>
    </xdr:to>
    <xdr:sp macro="" textlink="">
      <xdr:nvSpPr>
        <xdr:cNvPr id="2049" name="Text Box 1">
          <a:extLst>
            <a:ext uri="{FF2B5EF4-FFF2-40B4-BE49-F238E27FC236}">
              <a16:creationId xmlns:a16="http://schemas.microsoft.com/office/drawing/2014/main" id="{BA7C60BE-0088-E79C-B4D7-C31C622B1548}"/>
            </a:ext>
          </a:extLst>
        </xdr:cNvPr>
        <xdr:cNvSpPr txBox="1">
          <a:spLocks noChangeArrowheads="1"/>
        </xdr:cNvSpPr>
      </xdr:nvSpPr>
      <xdr:spPr bwMode="auto">
        <a:xfrm>
          <a:off x="2415540" y="342900"/>
          <a:ext cx="5981700" cy="548640"/>
        </a:xfrm>
        <a:prstGeom prst="rect">
          <a:avLst/>
        </a:prstGeom>
        <a:noFill/>
        <a:ln w="9525">
          <a:solidFill>
            <a:srgbClr val="000000"/>
          </a:solidFill>
          <a:miter lim="800000"/>
          <a:headEnd/>
          <a:tailEnd/>
        </a:ln>
      </xdr:spPr>
      <xdr:txBody>
        <a:bodyPr vertOverflow="clip" wrap="square" lIns="36576" tIns="32004" rIns="0" bIns="0" anchor="t" upright="1"/>
        <a:lstStyle/>
        <a:p>
          <a:pPr algn="l" rtl="0">
            <a:defRPr sz="1000"/>
          </a:pPr>
          <a:r>
            <a:rPr lang="en-IN" sz="2400" b="0" i="0" u="none" strike="noStrike" baseline="0">
              <a:solidFill>
                <a:schemeClr val="bg1"/>
              </a:solidFill>
              <a:latin typeface="Calibri"/>
              <a:ea typeface="Calibri"/>
              <a:cs typeface="Calibri"/>
            </a:rPr>
            <a:t>                    Student Churn Analysis Dashboard </a:t>
          </a:r>
        </a:p>
      </xdr:txBody>
    </xdr:sp>
    <xdr:clientData/>
  </xdr:twoCellAnchor>
  <xdr:twoCellAnchor>
    <xdr:from>
      <xdr:col>3</xdr:col>
      <xdr:colOff>342900</xdr:colOff>
      <xdr:row>7</xdr:row>
      <xdr:rowOff>60960</xdr:rowOff>
    </xdr:from>
    <xdr:to>
      <xdr:col>7</xdr:col>
      <xdr:colOff>274320</xdr:colOff>
      <xdr:row>10</xdr:row>
      <xdr:rowOff>76200</xdr:rowOff>
    </xdr:to>
    <xdr:sp macro="" textlink="">
      <xdr:nvSpPr>
        <xdr:cNvPr id="7" name="Rectangle 6">
          <a:extLst>
            <a:ext uri="{FF2B5EF4-FFF2-40B4-BE49-F238E27FC236}">
              <a16:creationId xmlns:a16="http://schemas.microsoft.com/office/drawing/2014/main" id="{69B45E2F-50CD-C1AA-44CE-4565B6CDFC6D}"/>
            </a:ext>
          </a:extLst>
        </xdr:cNvPr>
        <xdr:cNvSpPr/>
      </xdr:nvSpPr>
      <xdr:spPr>
        <a:xfrm>
          <a:off x="2171700" y="1341120"/>
          <a:ext cx="2369820" cy="56388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Total</a:t>
          </a:r>
          <a:r>
            <a:rPr lang="en-IN" sz="1800" b="1" baseline="0"/>
            <a:t> Students </a:t>
          </a:r>
          <a:endParaRPr lang="en-IN" sz="1800" b="1"/>
        </a:p>
      </xdr:txBody>
    </xdr:sp>
    <xdr:clientData/>
  </xdr:twoCellAnchor>
  <xdr:twoCellAnchor>
    <xdr:from>
      <xdr:col>8</xdr:col>
      <xdr:colOff>114300</xdr:colOff>
      <xdr:row>7</xdr:row>
      <xdr:rowOff>60960</xdr:rowOff>
    </xdr:from>
    <xdr:to>
      <xdr:col>12</xdr:col>
      <xdr:colOff>45720</xdr:colOff>
      <xdr:row>10</xdr:row>
      <xdr:rowOff>53340</xdr:rowOff>
    </xdr:to>
    <xdr:sp macro="" textlink="">
      <xdr:nvSpPr>
        <xdr:cNvPr id="8" name="Rectangle 7">
          <a:extLst>
            <a:ext uri="{FF2B5EF4-FFF2-40B4-BE49-F238E27FC236}">
              <a16:creationId xmlns:a16="http://schemas.microsoft.com/office/drawing/2014/main" id="{2F0DD3D1-F5B9-CADB-6683-40F20B982821}"/>
            </a:ext>
          </a:extLst>
        </xdr:cNvPr>
        <xdr:cNvSpPr/>
      </xdr:nvSpPr>
      <xdr:spPr>
        <a:xfrm>
          <a:off x="4991100" y="1341120"/>
          <a:ext cx="2369820" cy="54102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Total</a:t>
          </a:r>
          <a:r>
            <a:rPr lang="en-IN" sz="1800" b="1" baseline="0">
              <a:solidFill>
                <a:schemeClr val="bg1"/>
              </a:solidFill>
            </a:rPr>
            <a:t> Churn Rate </a:t>
          </a:r>
          <a:endParaRPr lang="en-IN" sz="1800" b="1">
            <a:solidFill>
              <a:schemeClr val="bg1"/>
            </a:solidFill>
          </a:endParaRPr>
        </a:p>
      </xdr:txBody>
    </xdr:sp>
    <xdr:clientData/>
  </xdr:twoCellAnchor>
  <xdr:twoCellAnchor>
    <xdr:from>
      <xdr:col>12</xdr:col>
      <xdr:colOff>495300</xdr:colOff>
      <xdr:row>7</xdr:row>
      <xdr:rowOff>68580</xdr:rowOff>
    </xdr:from>
    <xdr:to>
      <xdr:col>17</xdr:col>
      <xdr:colOff>434340</xdr:colOff>
      <xdr:row>10</xdr:row>
      <xdr:rowOff>45720</xdr:rowOff>
    </xdr:to>
    <xdr:sp macro="" textlink="">
      <xdr:nvSpPr>
        <xdr:cNvPr id="9" name="Rectangle 8">
          <a:extLst>
            <a:ext uri="{FF2B5EF4-FFF2-40B4-BE49-F238E27FC236}">
              <a16:creationId xmlns:a16="http://schemas.microsoft.com/office/drawing/2014/main" id="{67AA13FC-421A-3162-1337-DDC2C9844AE7}"/>
            </a:ext>
          </a:extLst>
        </xdr:cNvPr>
        <xdr:cNvSpPr/>
      </xdr:nvSpPr>
      <xdr:spPr>
        <a:xfrm>
          <a:off x="7810500" y="1348740"/>
          <a:ext cx="2987040" cy="52578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Total Revenue Loss </a:t>
          </a:r>
        </a:p>
      </xdr:txBody>
    </xdr:sp>
    <xdr:clientData/>
  </xdr:twoCellAnchor>
  <xdr:twoCellAnchor>
    <xdr:from>
      <xdr:col>6</xdr:col>
      <xdr:colOff>152400</xdr:colOff>
      <xdr:row>8</xdr:row>
      <xdr:rowOff>60960</xdr:rowOff>
    </xdr:from>
    <xdr:to>
      <xdr:col>7</xdr:col>
      <xdr:colOff>7620</xdr:colOff>
      <xdr:row>10</xdr:row>
      <xdr:rowOff>0</xdr:rowOff>
    </xdr:to>
    <xdr:sp macro="" textlink="Analysis!$B$3">
      <xdr:nvSpPr>
        <xdr:cNvPr id="10" name="Rectangle 9">
          <a:extLst>
            <a:ext uri="{FF2B5EF4-FFF2-40B4-BE49-F238E27FC236}">
              <a16:creationId xmlns:a16="http://schemas.microsoft.com/office/drawing/2014/main" id="{4B139878-3860-4101-A5CB-ADE0059AD815}"/>
            </a:ext>
          </a:extLst>
        </xdr:cNvPr>
        <xdr:cNvSpPr/>
      </xdr:nvSpPr>
      <xdr:spPr>
        <a:xfrm>
          <a:off x="3810000" y="1524000"/>
          <a:ext cx="464820" cy="3048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81F215-08E3-4687-9EDD-4AD827B40DBB}" type="TxLink">
            <a:rPr lang="en-US" sz="1200" b="1" i="0" u="none" strike="noStrike">
              <a:solidFill>
                <a:schemeClr val="bg1"/>
              </a:solidFill>
              <a:latin typeface="Calibri"/>
              <a:ea typeface="Calibri"/>
              <a:cs typeface="Calibri"/>
            </a:rPr>
            <a:pPr algn="l"/>
            <a:t>150</a:t>
          </a:fld>
          <a:endParaRPr lang="en-IN" sz="1100">
            <a:solidFill>
              <a:schemeClr val="bg1"/>
            </a:solidFill>
          </a:endParaRPr>
        </a:p>
      </xdr:txBody>
    </xdr:sp>
    <xdr:clientData/>
  </xdr:twoCellAnchor>
  <xdr:twoCellAnchor>
    <xdr:from>
      <xdr:col>11</xdr:col>
      <xdr:colOff>30480</xdr:colOff>
      <xdr:row>8</xdr:row>
      <xdr:rowOff>53341</xdr:rowOff>
    </xdr:from>
    <xdr:to>
      <xdr:col>11</xdr:col>
      <xdr:colOff>495300</xdr:colOff>
      <xdr:row>9</xdr:row>
      <xdr:rowOff>144780</xdr:rowOff>
    </xdr:to>
    <xdr:sp macro="" textlink="Analysis!$B$4">
      <xdr:nvSpPr>
        <xdr:cNvPr id="12" name="TextBox 11">
          <a:extLst>
            <a:ext uri="{FF2B5EF4-FFF2-40B4-BE49-F238E27FC236}">
              <a16:creationId xmlns:a16="http://schemas.microsoft.com/office/drawing/2014/main" id="{E333E35D-5C67-3DB0-DD72-8CF604D3F65A}"/>
            </a:ext>
          </a:extLst>
        </xdr:cNvPr>
        <xdr:cNvSpPr txBox="1"/>
      </xdr:nvSpPr>
      <xdr:spPr>
        <a:xfrm>
          <a:off x="6736080" y="1516381"/>
          <a:ext cx="464820" cy="27431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4D06BD-75C1-4816-BB95-0D1508E7E4E1}" type="TxLink">
            <a:rPr lang="en-US" sz="1200" b="1" i="0" u="none" strike="noStrike">
              <a:solidFill>
                <a:schemeClr val="bg1"/>
              </a:solidFill>
              <a:latin typeface="Calibri"/>
              <a:ea typeface="Calibri"/>
              <a:cs typeface="Calibri"/>
            </a:rPr>
            <a:pPr/>
            <a:t>55%</a:t>
          </a:fld>
          <a:endParaRPr lang="en-IN" sz="1100">
            <a:solidFill>
              <a:schemeClr val="bg1"/>
            </a:solidFill>
          </a:endParaRPr>
        </a:p>
      </xdr:txBody>
    </xdr:sp>
    <xdr:clientData/>
  </xdr:twoCellAnchor>
  <xdr:twoCellAnchor>
    <xdr:from>
      <xdr:col>16</xdr:col>
      <xdr:colOff>22860</xdr:colOff>
      <xdr:row>8</xdr:row>
      <xdr:rowOff>83821</xdr:rowOff>
    </xdr:from>
    <xdr:to>
      <xdr:col>17</xdr:col>
      <xdr:colOff>342900</xdr:colOff>
      <xdr:row>10</xdr:row>
      <xdr:rowOff>7620</xdr:rowOff>
    </xdr:to>
    <xdr:sp macro="" textlink="Analysis!$F$13">
      <xdr:nvSpPr>
        <xdr:cNvPr id="13" name="TextBox 12">
          <a:extLst>
            <a:ext uri="{FF2B5EF4-FFF2-40B4-BE49-F238E27FC236}">
              <a16:creationId xmlns:a16="http://schemas.microsoft.com/office/drawing/2014/main" id="{644E4DF9-7684-05A8-BFF5-6583AE23D78A}"/>
            </a:ext>
          </a:extLst>
        </xdr:cNvPr>
        <xdr:cNvSpPr txBox="1"/>
      </xdr:nvSpPr>
      <xdr:spPr>
        <a:xfrm>
          <a:off x="9776460" y="1546861"/>
          <a:ext cx="929640" cy="28955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2B3438-29CD-46FF-85C9-0C6CE90D09AD}" type="TxLink">
            <a:rPr lang="en-US" sz="1100" b="1" i="0" u="none" strike="noStrike">
              <a:solidFill>
                <a:schemeClr val="bg1"/>
              </a:solidFill>
              <a:latin typeface="Calibri"/>
              <a:ea typeface="Calibri"/>
              <a:cs typeface="Calibri"/>
            </a:rPr>
            <a:pPr/>
            <a:t>32000</a:t>
          </a:fld>
          <a:endParaRPr lang="en-IN" sz="1100" b="1">
            <a:solidFill>
              <a:schemeClr val="bg1"/>
            </a:solidFill>
          </a:endParaRPr>
        </a:p>
      </xdr:txBody>
    </xdr:sp>
    <xdr:clientData/>
  </xdr:twoCellAnchor>
  <xdr:twoCellAnchor>
    <xdr:from>
      <xdr:col>18</xdr:col>
      <xdr:colOff>76200</xdr:colOff>
      <xdr:row>7</xdr:row>
      <xdr:rowOff>60960</xdr:rowOff>
    </xdr:from>
    <xdr:to>
      <xdr:col>22</xdr:col>
      <xdr:colOff>381000</xdr:colOff>
      <xdr:row>10</xdr:row>
      <xdr:rowOff>38100</xdr:rowOff>
    </xdr:to>
    <xdr:sp macro="" textlink="">
      <xdr:nvSpPr>
        <xdr:cNvPr id="14" name="Rectangle 13">
          <a:extLst>
            <a:ext uri="{FF2B5EF4-FFF2-40B4-BE49-F238E27FC236}">
              <a16:creationId xmlns:a16="http://schemas.microsoft.com/office/drawing/2014/main" id="{535E40AB-7404-0BCC-60A9-C93A70F9A541}"/>
            </a:ext>
          </a:extLst>
        </xdr:cNvPr>
        <xdr:cNvSpPr/>
      </xdr:nvSpPr>
      <xdr:spPr>
        <a:xfrm>
          <a:off x="11049000" y="1341120"/>
          <a:ext cx="2743200" cy="525780"/>
        </a:xfrm>
        <a:prstGeom prst="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Total</a:t>
          </a:r>
          <a:r>
            <a:rPr lang="en-IN" sz="1800" b="1" baseline="0">
              <a:solidFill>
                <a:schemeClr val="bg1"/>
              </a:solidFill>
            </a:rPr>
            <a:t> Revenue </a:t>
          </a:r>
          <a:endParaRPr lang="en-IN" sz="1800" b="1">
            <a:solidFill>
              <a:schemeClr val="bg1"/>
            </a:solidFill>
          </a:endParaRPr>
        </a:p>
      </xdr:txBody>
    </xdr:sp>
    <xdr:clientData/>
  </xdr:twoCellAnchor>
  <xdr:twoCellAnchor>
    <xdr:from>
      <xdr:col>20</xdr:col>
      <xdr:colOff>525780</xdr:colOff>
      <xdr:row>8</xdr:row>
      <xdr:rowOff>53340</xdr:rowOff>
    </xdr:from>
    <xdr:to>
      <xdr:col>22</xdr:col>
      <xdr:colOff>259080</xdr:colOff>
      <xdr:row>10</xdr:row>
      <xdr:rowOff>0</xdr:rowOff>
    </xdr:to>
    <xdr:sp macro="" textlink="Analysis!$E$13">
      <xdr:nvSpPr>
        <xdr:cNvPr id="15" name="Rectangle 14">
          <a:extLst>
            <a:ext uri="{FF2B5EF4-FFF2-40B4-BE49-F238E27FC236}">
              <a16:creationId xmlns:a16="http://schemas.microsoft.com/office/drawing/2014/main" id="{B98ECF70-DB93-6834-6C2F-7921B0D760D5}"/>
            </a:ext>
          </a:extLst>
        </xdr:cNvPr>
        <xdr:cNvSpPr/>
      </xdr:nvSpPr>
      <xdr:spPr>
        <a:xfrm>
          <a:off x="12717780" y="1516380"/>
          <a:ext cx="952500" cy="31242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0DEE14-CB4F-463F-BB25-FE4CC9BEF6F7}" type="TxLink">
            <a:rPr lang="en-US" sz="1100" b="1" i="0" u="none" strike="noStrike">
              <a:solidFill>
                <a:schemeClr val="bg1"/>
              </a:solidFill>
              <a:latin typeface="Calibri"/>
              <a:ea typeface="Calibri"/>
              <a:cs typeface="Calibri"/>
            </a:rPr>
            <a:pPr algn="l"/>
            <a:t>323000</a:t>
          </a:fld>
          <a:endParaRPr lang="en-US" sz="1100" b="1">
            <a:solidFill>
              <a:schemeClr val="bg1"/>
            </a:solidFill>
          </a:endParaRPr>
        </a:p>
      </xdr:txBody>
    </xdr:sp>
    <xdr:clientData/>
  </xdr:twoCellAnchor>
  <xdr:twoCellAnchor>
    <xdr:from>
      <xdr:col>1</xdr:col>
      <xdr:colOff>510540</xdr:colOff>
      <xdr:row>11</xdr:row>
      <xdr:rowOff>114300</xdr:rowOff>
    </xdr:from>
    <xdr:to>
      <xdr:col>8</xdr:col>
      <xdr:colOff>83820</xdr:colOff>
      <xdr:row>23</xdr:row>
      <xdr:rowOff>45720</xdr:rowOff>
    </xdr:to>
    <xdr:graphicFrame macro="">
      <xdr:nvGraphicFramePr>
        <xdr:cNvPr id="2" name="Chart 1">
          <a:extLst>
            <a:ext uri="{FF2B5EF4-FFF2-40B4-BE49-F238E27FC236}">
              <a16:creationId xmlns:a16="http://schemas.microsoft.com/office/drawing/2014/main" id="{28388A08-6AE7-4C36-B389-B3CBBA329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114300</xdr:colOff>
      <xdr:row>6</xdr:row>
      <xdr:rowOff>167640</xdr:rowOff>
    </xdr:from>
    <xdr:to>
      <xdr:col>2</xdr:col>
      <xdr:colOff>15240</xdr:colOff>
      <xdr:row>14</xdr:row>
      <xdr:rowOff>121920</xdr:rowOff>
    </xdr:to>
    <mc:AlternateContent xmlns:mc="http://schemas.openxmlformats.org/markup-compatibility/2006" xmlns:a14="http://schemas.microsoft.com/office/drawing/2010/main">
      <mc:Choice Requires="a14">
        <xdr:graphicFrame macro="">
          <xdr:nvGraphicFramePr>
            <xdr:cNvPr id="4" name="Course category 1">
              <a:extLst>
                <a:ext uri="{FF2B5EF4-FFF2-40B4-BE49-F238E27FC236}">
                  <a16:creationId xmlns:a16="http://schemas.microsoft.com/office/drawing/2014/main" id="{8E2DBF33-8940-4C7E-A837-62D7B6F82A25}"/>
                </a:ext>
              </a:extLst>
            </xdr:cNvPr>
            <xdr:cNvGraphicFramePr/>
          </xdr:nvGraphicFramePr>
          <xdr:xfrm>
            <a:off x="0" y="0"/>
            <a:ext cx="0" cy="0"/>
          </xdr:xfrm>
          <a:graphic>
            <a:graphicData uri="http://schemas.microsoft.com/office/drawing/2010/slicer">
              <sle:slicer xmlns:sle="http://schemas.microsoft.com/office/drawing/2010/slicer" name="Course category 1"/>
            </a:graphicData>
          </a:graphic>
        </xdr:graphicFrame>
      </mc:Choice>
      <mc:Fallback xmlns="">
        <xdr:sp macro="" textlink="">
          <xdr:nvSpPr>
            <xdr:cNvPr id="0" name=""/>
            <xdr:cNvSpPr>
              <a:spLocks noTextEdit="1"/>
            </xdr:cNvSpPr>
          </xdr:nvSpPr>
          <xdr:spPr>
            <a:xfrm>
              <a:off x="114300" y="1264920"/>
              <a:ext cx="11201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320040</xdr:colOff>
      <xdr:row>11</xdr:row>
      <xdr:rowOff>121920</xdr:rowOff>
    </xdr:from>
    <xdr:to>
      <xdr:col>12</xdr:col>
      <xdr:colOff>152400</xdr:colOff>
      <xdr:row>23</xdr:row>
      <xdr:rowOff>68580</xdr:rowOff>
    </xdr:to>
    <xdr:graphicFrame macro="">
      <xdr:nvGraphicFramePr>
        <xdr:cNvPr id="11" name="Chart 10">
          <a:extLst>
            <a:ext uri="{FF2B5EF4-FFF2-40B4-BE49-F238E27FC236}">
              <a16:creationId xmlns:a16="http://schemas.microsoft.com/office/drawing/2014/main" id="{A2178307-6A91-4689-8132-2919484F3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335280</xdr:colOff>
      <xdr:row>11</xdr:row>
      <xdr:rowOff>91440</xdr:rowOff>
    </xdr:from>
    <xdr:to>
      <xdr:col>17</xdr:col>
      <xdr:colOff>548640</xdr:colOff>
      <xdr:row>23</xdr:row>
      <xdr:rowOff>83820</xdr:rowOff>
    </xdr:to>
    <xdr:graphicFrame macro="">
      <xdr:nvGraphicFramePr>
        <xdr:cNvPr id="16" name="Chart 15">
          <a:extLst>
            <a:ext uri="{FF2B5EF4-FFF2-40B4-BE49-F238E27FC236}">
              <a16:creationId xmlns:a16="http://schemas.microsoft.com/office/drawing/2014/main" id="{7EA10E42-E194-46A0-94C2-62BEEF3D6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53340</xdr:colOff>
      <xdr:row>11</xdr:row>
      <xdr:rowOff>91440</xdr:rowOff>
    </xdr:from>
    <xdr:to>
      <xdr:col>22</xdr:col>
      <xdr:colOff>480060</xdr:colOff>
      <xdr:row>23</xdr:row>
      <xdr:rowOff>68580</xdr:rowOff>
    </xdr:to>
    <xdr:graphicFrame macro="">
      <xdr:nvGraphicFramePr>
        <xdr:cNvPr id="17" name="Chart 16">
          <a:extLst>
            <a:ext uri="{FF2B5EF4-FFF2-40B4-BE49-F238E27FC236}">
              <a16:creationId xmlns:a16="http://schemas.microsoft.com/office/drawing/2014/main" id="{A6AB4B43-C055-454C-AFF7-A8F90DD27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15</xdr:row>
      <xdr:rowOff>0</xdr:rowOff>
    </xdr:from>
    <xdr:to>
      <xdr:col>1</xdr:col>
      <xdr:colOff>45720</xdr:colOff>
      <xdr:row>18</xdr:row>
      <xdr:rowOff>7620</xdr:rowOff>
    </xdr:to>
    <xdr:pic>
      <xdr:nvPicPr>
        <xdr:cNvPr id="19" name="Picture 18">
          <a:hlinkClick xmlns:r="http://schemas.openxmlformats.org/officeDocument/2006/relationships" r:id="rId6"/>
          <a:extLst>
            <a:ext uri="{FF2B5EF4-FFF2-40B4-BE49-F238E27FC236}">
              <a16:creationId xmlns:a16="http://schemas.microsoft.com/office/drawing/2014/main" id="{CF186AB4-8FCC-6075-1AD7-A73D5D34E0E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060" y="2743200"/>
          <a:ext cx="556260" cy="556260"/>
        </a:xfrm>
        <a:prstGeom prst="rect">
          <a:avLst/>
        </a:prstGeom>
      </xdr:spPr>
    </xdr:pic>
    <xdr:clientData/>
  </xdr:twoCellAnchor>
  <xdr:twoCellAnchor editAs="oneCell">
    <xdr:from>
      <xdr:col>0</xdr:col>
      <xdr:colOff>38100</xdr:colOff>
      <xdr:row>17</xdr:row>
      <xdr:rowOff>175260</xdr:rowOff>
    </xdr:from>
    <xdr:to>
      <xdr:col>1</xdr:col>
      <xdr:colOff>83820</xdr:colOff>
      <xdr:row>21</xdr:row>
      <xdr:rowOff>99060</xdr:rowOff>
    </xdr:to>
    <xdr:pic>
      <xdr:nvPicPr>
        <xdr:cNvPr id="21" name="Picture 20">
          <a:hlinkClick xmlns:r="http://schemas.openxmlformats.org/officeDocument/2006/relationships" r:id="rId8"/>
          <a:extLst>
            <a:ext uri="{FF2B5EF4-FFF2-40B4-BE49-F238E27FC236}">
              <a16:creationId xmlns:a16="http://schemas.microsoft.com/office/drawing/2014/main" id="{C7012000-D4CD-648A-5474-62546951639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100" y="3284220"/>
          <a:ext cx="655320" cy="655320"/>
        </a:xfrm>
        <a:prstGeom prst="rect">
          <a:avLst/>
        </a:prstGeom>
      </xdr:spPr>
    </xdr:pic>
    <xdr:clientData/>
  </xdr:twoCellAnchor>
  <xdr:oneCellAnchor>
    <xdr:from>
      <xdr:col>13</xdr:col>
      <xdr:colOff>213360</xdr:colOff>
      <xdr:row>3</xdr:row>
      <xdr:rowOff>7620</xdr:rowOff>
    </xdr:from>
    <xdr:ext cx="4579620" cy="311496"/>
    <xdr:sp macro="" textlink="">
      <xdr:nvSpPr>
        <xdr:cNvPr id="20" name="TextBox 19">
          <a:extLst>
            <a:ext uri="{FF2B5EF4-FFF2-40B4-BE49-F238E27FC236}">
              <a16:creationId xmlns:a16="http://schemas.microsoft.com/office/drawing/2014/main" id="{F04441F9-53DF-9989-6A28-3188517CE202}"/>
            </a:ext>
          </a:extLst>
        </xdr:cNvPr>
        <xdr:cNvSpPr txBox="1"/>
      </xdr:nvSpPr>
      <xdr:spPr>
        <a:xfrm>
          <a:off x="8930640" y="533400"/>
          <a:ext cx="45796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Analyzing retention, revenue loss, and course performance</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312420</xdr:colOff>
      <xdr:row>0</xdr:row>
      <xdr:rowOff>76200</xdr:rowOff>
    </xdr:from>
    <xdr:to>
      <xdr:col>12</xdr:col>
      <xdr:colOff>426720</xdr:colOff>
      <xdr:row>14</xdr:row>
      <xdr:rowOff>30480</xdr:rowOff>
    </xdr:to>
    <xdr:sp macro="" textlink="">
      <xdr:nvSpPr>
        <xdr:cNvPr id="2" name="Rectangle 1">
          <a:extLst>
            <a:ext uri="{FF2B5EF4-FFF2-40B4-BE49-F238E27FC236}">
              <a16:creationId xmlns:a16="http://schemas.microsoft.com/office/drawing/2014/main" id="{384A98AF-0EF1-38B6-7C41-8F24F28C6918}"/>
            </a:ext>
          </a:extLst>
        </xdr:cNvPr>
        <xdr:cNvSpPr/>
      </xdr:nvSpPr>
      <xdr:spPr>
        <a:xfrm>
          <a:off x="9044940" y="76200"/>
          <a:ext cx="4991100" cy="4038600"/>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441960</xdr:colOff>
      <xdr:row>4</xdr:row>
      <xdr:rowOff>68580</xdr:rowOff>
    </xdr:from>
    <xdr:to>
      <xdr:col>11</xdr:col>
      <xdr:colOff>396240</xdr:colOff>
      <xdr:row>12</xdr:row>
      <xdr:rowOff>701040</xdr:rowOff>
    </xdr:to>
    <xdr:sp macro="" textlink="">
      <xdr:nvSpPr>
        <xdr:cNvPr id="3" name="TextBox 2">
          <a:extLst>
            <a:ext uri="{FF2B5EF4-FFF2-40B4-BE49-F238E27FC236}">
              <a16:creationId xmlns:a16="http://schemas.microsoft.com/office/drawing/2014/main" id="{4EFEFC33-F08E-4599-85DB-7DA9A2065303}"/>
            </a:ext>
          </a:extLst>
        </xdr:cNvPr>
        <xdr:cNvSpPr txBox="1"/>
      </xdr:nvSpPr>
      <xdr:spPr>
        <a:xfrm>
          <a:off x="9784080" y="845820"/>
          <a:ext cx="3611880" cy="3025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baseline="0"/>
        </a:p>
        <a:p>
          <a:r>
            <a:rPr lang="en-IN" sz="1100" b="1" baseline="0"/>
            <a:t>1. Targeting:</a:t>
          </a:r>
          <a:r>
            <a:rPr lang="en-IN" sz="1100" b="0" baseline="0"/>
            <a:t> Focuses on Marketing and Productivity segments first. </a:t>
          </a:r>
        </a:p>
        <a:p>
          <a:r>
            <a:rPr lang="en-IN" sz="1100" b="1" baseline="0"/>
            <a:t>2. Trigger</a:t>
          </a:r>
          <a:r>
            <a:rPr lang="en-IN" sz="1100" b="0" baseline="0"/>
            <a:t>: Activates when student hits 13 day of inactivity.</a:t>
          </a:r>
        </a:p>
        <a:p>
          <a:r>
            <a:rPr lang="en-IN" sz="1100" b="1" baseline="0"/>
            <a:t>3. Action</a:t>
          </a:r>
          <a:r>
            <a:rPr lang="en-IN" sz="1100" b="0" baseline="0"/>
            <a:t>: Uses Role prompting to act as a "Technical mentor", offering a simplified explanation of the topic the student is stuck on.</a:t>
          </a:r>
        </a:p>
        <a:p>
          <a:r>
            <a:rPr lang="en-IN" sz="1100" b="1" baseline="0"/>
            <a:t>4. Goal</a:t>
          </a:r>
          <a:r>
            <a:rPr lang="en-IN" sz="1100" b="0" baseline="0"/>
            <a:t>: To recover 15-20% of at risk-revenue by reducing inactivity gap.</a:t>
          </a:r>
        </a:p>
        <a:p>
          <a:pPr marL="0" marR="0" lvl="0" indent="0" defTabSz="914400" eaLnBrk="1" fontAlgn="auto" latinLnBrk="0" hangingPunct="1">
            <a:lnSpc>
              <a:spcPct val="100000"/>
            </a:lnSpc>
            <a:spcBef>
              <a:spcPts val="0"/>
            </a:spcBef>
            <a:spcAft>
              <a:spcPts val="0"/>
            </a:spcAft>
            <a:buClrTx/>
            <a:buSzTx/>
            <a:buFontTx/>
            <a:buNone/>
            <a:tabLst/>
            <a:defRPr/>
          </a:pPr>
          <a:r>
            <a:rPr lang="en-IN" sz="1100" b="1" baseline="0"/>
            <a:t>5</a:t>
          </a:r>
          <a:r>
            <a:rPr lang="en-IN" sz="1100" b="0" baseline="0"/>
            <a:t>. The </a:t>
          </a:r>
          <a:r>
            <a:rPr lang="en-IN" sz="1100" b="1" baseline="0">
              <a:solidFill>
                <a:srgbClr val="388600"/>
              </a:solidFill>
            </a:rPr>
            <a:t>Duolingo Solution: </a:t>
          </a:r>
          <a:r>
            <a:rPr lang="en-IN" sz="1100" b="0"/>
            <a:t>Following the </a:t>
          </a:r>
          <a:r>
            <a:rPr lang="en-IN" sz="1100" b="1">
              <a:solidFill>
                <a:srgbClr val="388600"/>
              </a:solidFill>
            </a:rPr>
            <a:t>Duolingo Case Study, </a:t>
          </a:r>
          <a:r>
            <a:rPr lang="en-IN" sz="1100" b="0"/>
            <a:t>we recommend moving from "</a:t>
          </a:r>
          <a:r>
            <a:rPr lang="en-IN" sz="1100" b="1"/>
            <a:t>Generic Email Reminders</a:t>
          </a:r>
          <a:r>
            <a:rPr lang="en-IN" sz="1100" b="0"/>
            <a:t>" to "</a:t>
          </a:r>
          <a:r>
            <a:rPr lang="en-IN" sz="1100" b="1"/>
            <a:t>Progress-Based Nudges."</a:t>
          </a:r>
          <a:r>
            <a:rPr lang="en-IN" sz="1100" b="0"/>
            <a:t> By emphasizing Loss Aversion (e.g., </a:t>
          </a:r>
          <a:r>
            <a:rPr lang="en-IN" sz="1100" b="0" i="1"/>
            <a:t>"You've already completed 40% of the course, don't lose your streak!"</a:t>
          </a:r>
          <a:r>
            <a:rPr lang="en-IN" sz="1100" b="0"/>
            <a:t>), we can mirror the retention success of top-tier learning apps.</a:t>
          </a:r>
        </a:p>
        <a:p>
          <a:endParaRPr lang="en-IN" sz="1100"/>
        </a:p>
      </xdr:txBody>
    </xdr:sp>
    <xdr:clientData/>
  </xdr:twoCellAnchor>
  <xdr:twoCellAnchor>
    <xdr:from>
      <xdr:col>0</xdr:col>
      <xdr:colOff>106680</xdr:colOff>
      <xdr:row>2</xdr:row>
      <xdr:rowOff>38100</xdr:rowOff>
    </xdr:from>
    <xdr:to>
      <xdr:col>3</xdr:col>
      <xdr:colOff>1981200</xdr:colOff>
      <xdr:row>6</xdr:row>
      <xdr:rowOff>114300</xdr:rowOff>
    </xdr:to>
    <xdr:sp macro="" textlink="">
      <xdr:nvSpPr>
        <xdr:cNvPr id="4" name="TextBox 3">
          <a:extLst>
            <a:ext uri="{FF2B5EF4-FFF2-40B4-BE49-F238E27FC236}">
              <a16:creationId xmlns:a16="http://schemas.microsoft.com/office/drawing/2014/main" id="{6B5CAD75-FB7C-2A11-1550-57019D1DABC0}"/>
            </a:ext>
          </a:extLst>
        </xdr:cNvPr>
        <xdr:cNvSpPr txBox="1"/>
      </xdr:nvSpPr>
      <xdr:spPr>
        <a:xfrm>
          <a:off x="106680" y="449580"/>
          <a:ext cx="8481060" cy="807720"/>
        </a:xfrm>
        <a:prstGeom prst="rect">
          <a:avLst/>
        </a:prstGeom>
        <a:solidFill>
          <a:srgbClr val="000000"/>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bg1"/>
              </a:solidFill>
            </a:rPr>
            <a:t>Project Goal: To analyze student behavior across 150 learners and identify why 54.6% (82 students) are churning, resulting in a $32,000 revenue loss. </a:t>
          </a: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bg1"/>
              </a:solidFill>
            </a:rPr>
            <a:t>Key Finding: Churn is not random. It is concentrated in specific high-value categories and triggered by a distinct "Inactivity Gap" of 13 days.</a:t>
          </a:r>
        </a:p>
        <a:p>
          <a:endParaRPr lang="en-IN" sz="1100"/>
        </a:p>
      </xdr:txBody>
    </xdr:sp>
    <xdr:clientData/>
  </xdr:twoCellAnchor>
  <xdr:twoCellAnchor>
    <xdr:from>
      <xdr:col>5</xdr:col>
      <xdr:colOff>518160</xdr:colOff>
      <xdr:row>1</xdr:row>
      <xdr:rowOff>30480</xdr:rowOff>
    </xdr:from>
    <xdr:to>
      <xdr:col>11</xdr:col>
      <xdr:colOff>350520</xdr:colOff>
      <xdr:row>3</xdr:row>
      <xdr:rowOff>76200</xdr:rowOff>
    </xdr:to>
    <xdr:sp macro="" textlink="">
      <xdr:nvSpPr>
        <xdr:cNvPr id="5" name="TextBox 4">
          <a:extLst>
            <a:ext uri="{FF2B5EF4-FFF2-40B4-BE49-F238E27FC236}">
              <a16:creationId xmlns:a16="http://schemas.microsoft.com/office/drawing/2014/main" id="{E083A8BA-CB9D-9977-1980-778A77C31AF8}"/>
            </a:ext>
          </a:extLst>
        </xdr:cNvPr>
        <xdr:cNvSpPr txBox="1"/>
      </xdr:nvSpPr>
      <xdr:spPr>
        <a:xfrm>
          <a:off x="9860280" y="259080"/>
          <a:ext cx="34899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Solution: The "Success Scout" AI Agent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Kumar" refreshedDate="46083.485013310186" createdVersion="8" refreshedVersion="8" minRefreshableVersion="3" recordCount="150" xr:uid="{3E2DE085-6C38-4E8B-826B-142DBB03714B}">
  <cacheSource type="worksheet">
    <worksheetSource name="Studentdata"/>
  </cacheSource>
  <cacheFields count="20">
    <cacheField name="Sr no" numFmtId="0">
      <sharedItems containsSemiMixedTypes="0" containsString="0" containsNumber="1" containsInteger="1" minValue="1" maxValue="150"/>
    </cacheField>
    <cacheField name="Student_id" numFmtId="0">
      <sharedItems/>
    </cacheField>
    <cacheField name="Student_name" numFmtId="0">
      <sharedItems/>
    </cacheField>
    <cacheField name="Age" numFmtId="0">
      <sharedItems containsSemiMixedTypes="0" containsString="0" containsNumber="1" containsInteger="1" minValue="18" maxValue="35"/>
    </cacheField>
    <cacheField name="Gender" numFmtId="0">
      <sharedItems/>
    </cacheField>
    <cacheField name="City" numFmtId="0">
      <sharedItems/>
    </cacheField>
    <cacheField name="Coursename" numFmtId="0">
      <sharedItems count="8">
        <s v="Data Analytics Bootcamp"/>
        <s v="Business Analysis Fundamentals"/>
        <s v="Excel For Beginners"/>
        <s v="Digital Marketing Pro"/>
        <s v="Advanced Excel"/>
        <s v="Sql Mastery"/>
        <s v="Power Bi Complete Guide"/>
        <s v="Python For Data Science"/>
      </sharedItems>
    </cacheField>
    <cacheField name="Course category" numFmtId="0">
      <sharedItems count="4">
        <s v="Analytics"/>
        <s v="Productivity"/>
        <s v="Marketing"/>
        <s v="Programming"/>
      </sharedItems>
    </cacheField>
    <cacheField name="Enrollment date" numFmtId="14">
      <sharedItems containsSemiMixedTypes="0" containsNonDate="0" containsDate="1" containsString="0" minDate="2024-01-05T00:00:00" maxDate="2025-01-01T00:00:00"/>
    </cacheField>
    <cacheField name="Last login date" numFmtId="14">
      <sharedItems containsSemiMixedTypes="0" containsNonDate="0" containsDate="1" containsString="0" minDate="2023-02-21T00:00:00" maxDate="2025-05-05T00:00:00"/>
    </cacheField>
    <cacheField name="Course price" numFmtId="0">
      <sharedItems containsSemiMixedTypes="0" containsString="0" containsNumber="1" containsInteger="1" minValue="3000" maxValue="7000"/>
    </cacheField>
    <cacheField name="Discount applied" numFmtId="0">
      <sharedItems containsSemiMixedTypes="0" containsString="0" containsNumber="1" containsInteger="1" minValue="0" maxValue="1000"/>
    </cacheField>
    <cacheField name="Amount paid" numFmtId="0">
      <sharedItems containsSemiMixedTypes="0" containsString="0" containsNumber="1" containsInteger="1" minValue="2000" maxValue="7000"/>
    </cacheField>
    <cacheField name="Completion status" numFmtId="0">
      <sharedItems count="2">
        <s v="Churned"/>
        <s v="Completed"/>
      </sharedItems>
    </cacheField>
    <cacheField name="Refund issued" numFmtId="0">
      <sharedItems/>
    </cacheField>
    <cacheField name="Engagement score" numFmtId="0">
      <sharedItems containsSemiMixedTypes="0" containsString="0" containsNumber="1" containsInteger="1" minValue="0" maxValue="10"/>
    </cacheField>
    <cacheField name="Videos watched" numFmtId="0">
      <sharedItems containsSemiMixedTypes="0" containsString="0" containsNumber="1" containsInteger="1" minValue="0" maxValue="50"/>
    </cacheField>
    <cacheField name="Assignment completed" numFmtId="0">
      <sharedItems/>
    </cacheField>
    <cacheField name="Days inactive" numFmtId="0">
      <sharedItems containsSemiMixedTypes="0" containsString="0" containsNumber="1" containsInteger="1" minValue="0" maxValue="90"/>
    </cacheField>
    <cacheField name="Amount pending" numFmtId="0">
      <sharedItems containsSemiMixedTypes="0" containsString="0" containsNumber="1" containsInteger="1" minValue="0" maxValue="1000"/>
    </cacheField>
  </cacheFields>
  <extLst>
    <ext xmlns:x14="http://schemas.microsoft.com/office/spreadsheetml/2009/9/main" uri="{725AE2AE-9491-48be-B2B4-4EB974FC3084}">
      <x14:pivotCacheDefinition pivotCacheId="677910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s v="S1021"/>
    <s v="Aadhya Mehta"/>
    <n v="21"/>
    <s v="Female"/>
    <s v="Chandigarh"/>
    <x v="0"/>
    <x v="0"/>
    <d v="2024-02-25T00:00:00"/>
    <d v="2024-05-11T00:00:00"/>
    <n v="5000"/>
    <n v="1000"/>
    <n v="4000"/>
    <x v="0"/>
    <s v="Yes"/>
    <n v="0"/>
    <n v="36"/>
    <s v="No"/>
    <n v="5"/>
    <n v="1000"/>
  </r>
  <r>
    <n v="2"/>
    <s v="S1025"/>
    <s v="Aanya Chatterjee"/>
    <n v="30"/>
    <s v="Female"/>
    <s v="Delhi"/>
    <x v="1"/>
    <x v="0"/>
    <d v="2024-04-22T00:00:00"/>
    <d v="2023-02-21T00:00:00"/>
    <n v="3000"/>
    <n v="0"/>
    <n v="3000"/>
    <x v="1"/>
    <s v="Yes"/>
    <n v="0"/>
    <n v="42"/>
    <s v="No"/>
    <n v="0"/>
    <n v="0"/>
  </r>
  <r>
    <n v="3"/>
    <s v="S1001"/>
    <s v="Aarav Sharma"/>
    <n v="18"/>
    <s v="Male"/>
    <s v="Bangalore"/>
    <x v="2"/>
    <x v="1"/>
    <d v="2024-12-12T00:00:00"/>
    <d v="2025-03-16T00:00:00"/>
    <n v="7000"/>
    <n v="500"/>
    <n v="6500"/>
    <x v="1"/>
    <s v="Yes"/>
    <n v="2"/>
    <n v="32"/>
    <s v="No"/>
    <n v="1"/>
    <n v="500"/>
  </r>
  <r>
    <n v="4"/>
    <s v="S1144"/>
    <s v="Aaron Dsouza"/>
    <n v="33"/>
    <s v="Male"/>
    <s v="Mumbai"/>
    <x v="3"/>
    <x v="2"/>
    <d v="2024-09-01T00:00:00"/>
    <d v="2023-03-01T00:00:00"/>
    <n v="6000"/>
    <n v="0"/>
    <n v="6000"/>
    <x v="0"/>
    <s v="No"/>
    <n v="3"/>
    <n v="17"/>
    <s v="Yes"/>
    <n v="0"/>
    <n v="0"/>
  </r>
  <r>
    <n v="5"/>
    <s v="S1074"/>
    <s v="Aarti Yadav"/>
    <n v="28"/>
    <s v="Female"/>
    <s v="Chennai"/>
    <x v="1"/>
    <x v="0"/>
    <d v="2024-03-07T00:00:00"/>
    <d v="2024-05-22T00:00:00"/>
    <n v="5000"/>
    <n v="0"/>
    <n v="5000"/>
    <x v="0"/>
    <s v="No"/>
    <n v="3"/>
    <n v="44"/>
    <s v="No"/>
    <n v="82"/>
    <n v="0"/>
  </r>
  <r>
    <n v="6"/>
    <s v="S1070"/>
    <s v="Abhishek Sharma"/>
    <n v="22"/>
    <s v="Male"/>
    <s v="Chennai"/>
    <x v="4"/>
    <x v="1"/>
    <d v="2024-11-04T00:00:00"/>
    <d v="2024-11-23T00:00:00"/>
    <n v="4000"/>
    <n v="500"/>
    <n v="3500"/>
    <x v="0"/>
    <s v="Yes"/>
    <n v="8"/>
    <n v="36"/>
    <s v="No"/>
    <n v="0"/>
    <n v="500"/>
  </r>
  <r>
    <n v="7"/>
    <s v="S1104"/>
    <s v="Adarsh Yadav"/>
    <n v="28"/>
    <s v="Male"/>
    <s v="Delhi"/>
    <x v="5"/>
    <x v="0"/>
    <d v="2024-09-30T00:00:00"/>
    <d v="2025-02-01T00:00:00"/>
    <n v="4000"/>
    <n v="500"/>
    <n v="3500"/>
    <x v="0"/>
    <s v="No"/>
    <n v="0"/>
    <n v="11"/>
    <s v="Yes"/>
    <n v="56"/>
    <n v="500"/>
  </r>
  <r>
    <n v="8"/>
    <s v="S1003"/>
    <s v="Aditya Kumar"/>
    <n v="19"/>
    <s v="Male"/>
    <s v="Mumbai"/>
    <x v="6"/>
    <x v="0"/>
    <d v="2024-11-17T00:00:00"/>
    <d v="2025-02-04T00:00:00"/>
    <n v="5000"/>
    <n v="0"/>
    <n v="5000"/>
    <x v="1"/>
    <s v="No"/>
    <n v="4"/>
    <n v="14"/>
    <s v="Yes"/>
    <n v="0"/>
    <n v="0"/>
  </r>
  <r>
    <n v="9"/>
    <s v="S1150"/>
    <s v="Adrian Dsouza"/>
    <n v="26"/>
    <s v="Male"/>
    <s v="Kolkata"/>
    <x v="6"/>
    <x v="0"/>
    <d v="2024-11-17T00:00:00"/>
    <d v="2023-03-01T00:00:00"/>
    <n v="6000"/>
    <n v="500"/>
    <n v="5500"/>
    <x v="1"/>
    <s v="No"/>
    <n v="9"/>
    <n v="9"/>
    <s v="Yes"/>
    <n v="5"/>
    <n v="500"/>
  </r>
  <r>
    <n v="10"/>
    <s v="S1065"/>
    <s v="Ajay Verma"/>
    <n v="20"/>
    <s v="Male"/>
    <s v="Jaipur"/>
    <x v="1"/>
    <x v="0"/>
    <d v="2024-08-02T00:00:00"/>
    <d v="2024-09-29T00:00:00"/>
    <n v="5000"/>
    <n v="1000"/>
    <n v="4000"/>
    <x v="0"/>
    <s v="Yes"/>
    <n v="10"/>
    <n v="3"/>
    <s v="No"/>
    <n v="10"/>
    <n v="1000"/>
  </r>
  <r>
    <n v="11"/>
    <s v="S1089"/>
    <s v="Akash Agarwal"/>
    <n v="29"/>
    <s v="Male"/>
    <s v="Hyderabad"/>
    <x v="5"/>
    <x v="0"/>
    <d v="2024-09-09T00:00:00"/>
    <d v="2024-09-12T00:00:00"/>
    <n v="6000"/>
    <n v="0"/>
    <n v="6000"/>
    <x v="1"/>
    <s v="Yes"/>
    <n v="0"/>
    <n v="25"/>
    <s v="No"/>
    <n v="0"/>
    <n v="0"/>
  </r>
  <r>
    <n v="12"/>
    <s v="S1077"/>
    <s v="Alisha Mishra"/>
    <n v="32"/>
    <s v="Female"/>
    <s v="Jaipur"/>
    <x v="1"/>
    <x v="0"/>
    <d v="2024-03-23T00:00:00"/>
    <d v="2024-07-05T00:00:00"/>
    <n v="6000"/>
    <n v="1000"/>
    <n v="5000"/>
    <x v="1"/>
    <s v="No"/>
    <n v="6"/>
    <n v="6"/>
    <s v="No"/>
    <n v="0"/>
    <n v="1000"/>
  </r>
  <r>
    <n v="13"/>
    <s v="S1042"/>
    <s v="Amit Singh"/>
    <n v="32"/>
    <s v="Male"/>
    <s v="Chandigarh"/>
    <x v="3"/>
    <x v="2"/>
    <d v="2024-02-16T00:00:00"/>
    <d v="2023-03-01T00:00:00"/>
    <n v="5000"/>
    <n v="1000"/>
    <n v="4000"/>
    <x v="0"/>
    <s v="Yes"/>
    <n v="0"/>
    <n v="44"/>
    <s v="No"/>
    <n v="0"/>
    <n v="1000"/>
  </r>
  <r>
    <n v="14"/>
    <s v="S1022"/>
    <s v="Ananya Reddy"/>
    <n v="18"/>
    <s v="Female"/>
    <s v="Kolkata"/>
    <x v="7"/>
    <x v="3"/>
    <d v="2024-11-15T00:00:00"/>
    <d v="2024-12-25T00:00:00"/>
    <n v="5000"/>
    <n v="1000"/>
    <n v="4000"/>
    <x v="0"/>
    <s v="Yes"/>
    <n v="0"/>
    <n v="44"/>
    <s v="Yes"/>
    <n v="35"/>
    <n v="1000"/>
  </r>
  <r>
    <n v="15"/>
    <s v="S1026"/>
    <s v="Anika Das"/>
    <n v="31"/>
    <s v="Female"/>
    <s v="Ahmedabad"/>
    <x v="6"/>
    <x v="0"/>
    <d v="2024-05-06T00:00:00"/>
    <d v="2024-08-21T00:00:00"/>
    <n v="6000"/>
    <n v="0"/>
    <n v="6000"/>
    <x v="0"/>
    <s v="No"/>
    <n v="0"/>
    <n v="4"/>
    <s v="Yes"/>
    <n v="0"/>
    <n v="0"/>
  </r>
  <r>
    <n v="16"/>
    <s v="S1095"/>
    <s v="Anjali Verma"/>
    <n v="27"/>
    <s v="Female"/>
    <s v="Kolkata"/>
    <x v="3"/>
    <x v="2"/>
    <d v="2024-05-03T00:00:00"/>
    <d v="2024-05-30T00:00:00"/>
    <n v="3000"/>
    <n v="0"/>
    <n v="3000"/>
    <x v="1"/>
    <s v="No"/>
    <n v="0"/>
    <n v="34"/>
    <s v="Yes"/>
    <n v="0"/>
    <n v="0"/>
  </r>
  <r>
    <n v="17"/>
    <s v="S1049"/>
    <s v="Ankit Jain"/>
    <n v="25"/>
    <s v="Male"/>
    <s v="Mumbai"/>
    <x v="2"/>
    <x v="1"/>
    <d v="2024-11-20T00:00:00"/>
    <d v="2023-03-01T00:00:00"/>
    <n v="4000"/>
    <n v="1000"/>
    <n v="3000"/>
    <x v="1"/>
    <s v="Yes"/>
    <n v="0"/>
    <n v="22"/>
    <s v="Yes"/>
    <n v="27"/>
    <n v="1000"/>
  </r>
  <r>
    <n v="18"/>
    <s v="S1118"/>
    <s v="Anu Jain"/>
    <n v="28"/>
    <s v="Female"/>
    <s v="Hyderabad"/>
    <x v="4"/>
    <x v="1"/>
    <d v="2024-01-09T00:00:00"/>
    <d v="2023-03-01T00:00:00"/>
    <n v="5000"/>
    <n v="500"/>
    <n v="4500"/>
    <x v="1"/>
    <s v="Yes"/>
    <n v="7"/>
    <n v="15"/>
    <s v="No"/>
    <n v="83"/>
    <n v="500"/>
  </r>
  <r>
    <n v="19"/>
    <s v="S1136"/>
    <s v="Arbaz Khan"/>
    <n v="29"/>
    <s v="Male"/>
    <s v="Mumbai"/>
    <x v="3"/>
    <x v="2"/>
    <d v="2024-09-27T00:00:00"/>
    <d v="2023-03-01T00:00:00"/>
    <n v="7000"/>
    <n v="500"/>
    <n v="6500"/>
    <x v="0"/>
    <s v="Yes"/>
    <n v="0"/>
    <n v="39"/>
    <s v="No"/>
    <n v="86"/>
    <n v="500"/>
  </r>
  <r>
    <n v="20"/>
    <s v="S1005"/>
    <s v="Arjun Verma"/>
    <n v="26"/>
    <s v="Male"/>
    <s v="Pune"/>
    <x v="3"/>
    <x v="2"/>
    <d v="2024-07-21T00:00:00"/>
    <d v="2023-03-01T00:00:00"/>
    <n v="4000"/>
    <n v="1000"/>
    <n v="3000"/>
    <x v="1"/>
    <s v="No"/>
    <n v="0"/>
    <n v="47"/>
    <s v="No"/>
    <n v="0"/>
    <n v="1000"/>
  </r>
  <r>
    <n v="21"/>
    <s v="S1140"/>
    <s v="Arman Khan"/>
    <n v="29"/>
    <s v="Male"/>
    <s v="Ahmedabad"/>
    <x v="5"/>
    <x v="0"/>
    <d v="2024-08-05T00:00:00"/>
    <d v="2024-08-18T00:00:00"/>
    <n v="5000"/>
    <n v="0"/>
    <n v="5000"/>
    <x v="0"/>
    <s v="Yes"/>
    <n v="0"/>
    <n v="7"/>
    <s v="No"/>
    <n v="75"/>
    <n v="0"/>
  </r>
  <r>
    <n v="22"/>
    <s v="S1015"/>
    <s v="Aryan Kapoor"/>
    <n v="28"/>
    <s v="Male"/>
    <s v="Pune"/>
    <x v="6"/>
    <x v="0"/>
    <d v="2024-07-21T00:00:00"/>
    <d v="2024-08-06T00:00:00"/>
    <n v="6000"/>
    <n v="1000"/>
    <n v="5000"/>
    <x v="0"/>
    <s v="Yes"/>
    <n v="8"/>
    <n v="36"/>
    <s v="Yes"/>
    <n v="4"/>
    <n v="1000"/>
  </r>
  <r>
    <n v="23"/>
    <s v="S1125"/>
    <s v="Ashok Kumar"/>
    <n v="25"/>
    <s v="Male"/>
    <s v="Kolkata"/>
    <x v="4"/>
    <x v="1"/>
    <d v="2024-12-14T00:00:00"/>
    <d v="2023-03-01T00:00:00"/>
    <n v="3000"/>
    <n v="0"/>
    <n v="3000"/>
    <x v="1"/>
    <s v="No"/>
    <n v="0"/>
    <n v="9"/>
    <s v="No"/>
    <n v="45"/>
    <n v="0"/>
  </r>
  <r>
    <n v="24"/>
    <s v="S1011"/>
    <s v="Atharv Mishra"/>
    <n v="31"/>
    <s v="Male"/>
    <s v="Kolkata"/>
    <x v="1"/>
    <x v="0"/>
    <d v="2024-07-29T00:00:00"/>
    <d v="2024-09-26T00:00:00"/>
    <n v="5000"/>
    <n v="0"/>
    <n v="5000"/>
    <x v="1"/>
    <s v="No"/>
    <n v="6"/>
    <n v="12"/>
    <s v="No"/>
    <n v="34"/>
    <n v="0"/>
  </r>
  <r>
    <n v="25"/>
    <s v="S1133"/>
    <s v="Ayaan Khan"/>
    <n v="32"/>
    <s v="Male"/>
    <s v="Delhi"/>
    <x v="2"/>
    <x v="1"/>
    <d v="2024-05-31T00:00:00"/>
    <d v="2024-07-23T00:00:00"/>
    <n v="6000"/>
    <n v="500"/>
    <n v="5500"/>
    <x v="1"/>
    <s v="Yes"/>
    <n v="6"/>
    <n v="33"/>
    <s v="No"/>
    <n v="22"/>
    <n v="500"/>
  </r>
  <r>
    <n v="26"/>
    <s v="S1102"/>
    <s v="Ayush Singh"/>
    <n v="30"/>
    <s v="Male"/>
    <s v="Chennai"/>
    <x v="6"/>
    <x v="0"/>
    <d v="2024-12-31T00:00:00"/>
    <d v="2023-03-01T00:00:00"/>
    <n v="5000"/>
    <n v="1000"/>
    <n v="4000"/>
    <x v="0"/>
    <s v="No"/>
    <n v="4"/>
    <n v="17"/>
    <s v="No"/>
    <n v="44"/>
    <n v="1000"/>
  </r>
  <r>
    <n v="27"/>
    <s v="S1113"/>
    <s v="Beena Gupta"/>
    <n v="19"/>
    <s v="Female"/>
    <s v="Hyderabad"/>
    <x v="5"/>
    <x v="0"/>
    <d v="2024-01-29T00:00:00"/>
    <d v="2024-02-15T00:00:00"/>
    <n v="4000"/>
    <n v="0"/>
    <n v="4000"/>
    <x v="1"/>
    <s v="Yes"/>
    <n v="10"/>
    <n v="19"/>
    <s v="No"/>
    <n v="42"/>
    <n v="0"/>
  </r>
  <r>
    <n v="28"/>
    <s v="S1075"/>
    <s v="Bhavna Verma"/>
    <n v="34"/>
    <s v="Male"/>
    <s v="Chennai"/>
    <x v="5"/>
    <x v="0"/>
    <d v="2024-06-23T00:00:00"/>
    <d v="2024-09-29T00:00:00"/>
    <n v="4000"/>
    <n v="500"/>
    <n v="3500"/>
    <x v="1"/>
    <s v="Yes"/>
    <n v="2"/>
    <n v="49"/>
    <s v="No"/>
    <n v="53"/>
    <n v="500"/>
  </r>
  <r>
    <n v="29"/>
    <s v="S1110"/>
    <s v="Chirag Sharma"/>
    <n v="18"/>
    <s v="Male"/>
    <s v="Delhi"/>
    <x v="5"/>
    <x v="0"/>
    <d v="2024-10-23T00:00:00"/>
    <d v="2023-03-01T00:00:00"/>
    <n v="5000"/>
    <n v="0"/>
    <n v="5000"/>
    <x v="0"/>
    <s v="Yes"/>
    <n v="2"/>
    <n v="18"/>
    <s v="No"/>
    <n v="17"/>
    <n v="0"/>
  </r>
  <r>
    <n v="30"/>
    <s v="S1146"/>
    <s v="Chris Dsouza"/>
    <n v="21"/>
    <s v="Male"/>
    <s v="Mumbai"/>
    <x v="1"/>
    <x v="0"/>
    <d v="2024-02-15T00:00:00"/>
    <d v="2024-05-18T00:00:00"/>
    <n v="5000"/>
    <n v="1000"/>
    <n v="4000"/>
    <x v="1"/>
    <s v="No"/>
    <n v="3"/>
    <n v="43"/>
    <s v="No"/>
    <n v="67"/>
    <n v="1000"/>
  </r>
  <r>
    <n v="31"/>
    <s v="S1147"/>
    <s v="Daniel Dsouza"/>
    <n v="32"/>
    <s v="Male"/>
    <s v="Hyderabad"/>
    <x v="4"/>
    <x v="1"/>
    <d v="2024-07-29T00:00:00"/>
    <d v="2023-03-01T00:00:00"/>
    <n v="6000"/>
    <n v="500"/>
    <n v="5500"/>
    <x v="1"/>
    <s v="Yes"/>
    <n v="2"/>
    <n v="46"/>
    <s v="No"/>
    <n v="0"/>
    <n v="500"/>
  </r>
  <r>
    <n v="32"/>
    <s v="S1137"/>
    <s v="Danish Khan"/>
    <n v="22"/>
    <s v="Male"/>
    <s v="Hyderabad"/>
    <x v="2"/>
    <x v="1"/>
    <d v="2024-04-03T00:00:00"/>
    <d v="2024-05-20T00:00:00"/>
    <n v="7000"/>
    <n v="500"/>
    <n v="6500"/>
    <x v="0"/>
    <s v="Yes"/>
    <n v="0"/>
    <n v="27"/>
    <s v="No"/>
    <n v="81"/>
    <n v="500"/>
  </r>
  <r>
    <n v="33"/>
    <s v="S1048"/>
    <s v="Deepak Mishra"/>
    <n v="32"/>
    <s v="Male"/>
    <s v="Bangalore"/>
    <x v="3"/>
    <x v="2"/>
    <d v="2024-05-15T00:00:00"/>
    <d v="2023-03-01T00:00:00"/>
    <n v="5000"/>
    <n v="0"/>
    <n v="5000"/>
    <x v="0"/>
    <s v="Yes"/>
    <n v="0"/>
    <n v="40"/>
    <s v="No"/>
    <n v="55"/>
    <n v="0"/>
  </r>
  <r>
    <n v="34"/>
    <s v="S1020"/>
    <s v="Devansh Bansal"/>
    <n v="19"/>
    <s v="Male"/>
    <s v="Hyderabad"/>
    <x v="7"/>
    <x v="3"/>
    <d v="2024-05-06T00:00:00"/>
    <d v="2024-09-18T00:00:00"/>
    <n v="3000"/>
    <n v="500"/>
    <n v="2500"/>
    <x v="0"/>
    <s v="Yes"/>
    <n v="0"/>
    <n v="22"/>
    <s v="No"/>
    <n v="86"/>
    <n v="500"/>
  </r>
  <r>
    <n v="35"/>
    <s v="S1012"/>
    <s v="Dhruv Agarwal"/>
    <n v="26"/>
    <s v="Male"/>
    <s v="Mumbai"/>
    <x v="2"/>
    <x v="1"/>
    <d v="2024-01-26T00:00:00"/>
    <d v="2024-04-18T00:00:00"/>
    <n v="3000"/>
    <n v="500"/>
    <n v="2500"/>
    <x v="1"/>
    <s v="No"/>
    <n v="8"/>
    <n v="25"/>
    <s v="Yes"/>
    <n v="10"/>
    <n v="500"/>
  </r>
  <r>
    <n v="36"/>
    <s v="S1107"/>
    <s v="Dinesh Mishra"/>
    <n v="26"/>
    <s v="Male"/>
    <s v="Hyderabad"/>
    <x v="2"/>
    <x v="1"/>
    <d v="2024-08-26T00:00:00"/>
    <d v="2023-03-01T00:00:00"/>
    <n v="5000"/>
    <n v="0"/>
    <n v="5000"/>
    <x v="0"/>
    <s v="Yes"/>
    <n v="0"/>
    <n v="39"/>
    <s v="No"/>
    <n v="0"/>
    <n v="0"/>
  </r>
  <r>
    <n v="37"/>
    <s v="S1058"/>
    <s v="Divya Jain"/>
    <n v="19"/>
    <s v="Female"/>
    <s v="Chandigarh"/>
    <x v="2"/>
    <x v="1"/>
    <d v="2024-10-10T00:00:00"/>
    <d v="2024-11-05T00:00:00"/>
    <n v="6000"/>
    <n v="500"/>
    <n v="5500"/>
    <x v="1"/>
    <s v="No"/>
    <n v="0"/>
    <n v="9"/>
    <s v="No"/>
    <n v="34"/>
    <n v="500"/>
  </r>
  <r>
    <n v="38"/>
    <s v="S1023"/>
    <s v="Diya Kapoor"/>
    <n v="23"/>
    <s v="Female"/>
    <s v="Jaipur"/>
    <x v="6"/>
    <x v="0"/>
    <d v="2024-05-26T00:00:00"/>
    <d v="2024-06-21T00:00:00"/>
    <n v="6000"/>
    <n v="500"/>
    <n v="5500"/>
    <x v="0"/>
    <s v="No"/>
    <n v="0"/>
    <n v="50"/>
    <s v="No"/>
    <n v="0"/>
    <n v="500"/>
  </r>
  <r>
    <n v="39"/>
    <s v="S1134"/>
    <s v="Faizan Khan"/>
    <n v="32"/>
    <s v="Male"/>
    <s v="Delhi"/>
    <x v="2"/>
    <x v="1"/>
    <d v="2024-01-12T00:00:00"/>
    <d v="2024-04-29T00:00:00"/>
    <n v="5000"/>
    <n v="500"/>
    <n v="4500"/>
    <x v="0"/>
    <s v="No"/>
    <n v="3"/>
    <n v="10"/>
    <s v="Yes"/>
    <n v="0"/>
    <n v="500"/>
  </r>
  <r>
    <n v="40"/>
    <s v="S1131"/>
    <s v="Farhan Ali"/>
    <n v="25"/>
    <s v="Male"/>
    <s v="Kolkata"/>
    <x v="2"/>
    <x v="1"/>
    <d v="2024-08-17T00:00:00"/>
    <d v="2023-03-01T00:00:00"/>
    <n v="7000"/>
    <n v="0"/>
    <n v="7000"/>
    <x v="0"/>
    <s v="No"/>
    <n v="7"/>
    <n v="50"/>
    <s v="Yes"/>
    <n v="68"/>
    <n v="0"/>
  </r>
  <r>
    <n v="41"/>
    <s v="S1068"/>
    <s v="Gaurav Jain"/>
    <n v="19"/>
    <s v="Male"/>
    <s v="Ahmedabad"/>
    <x v="7"/>
    <x v="3"/>
    <d v="2024-10-21T00:00:00"/>
    <d v="2023-03-01T00:00:00"/>
    <n v="5000"/>
    <n v="500"/>
    <n v="4500"/>
    <x v="1"/>
    <s v="Yes"/>
    <n v="0"/>
    <n v="10"/>
    <s v="No"/>
    <n v="0"/>
    <n v="500"/>
  </r>
  <r>
    <n v="42"/>
    <s v="S1097"/>
    <s v="Geeta Mishra"/>
    <n v="30"/>
    <s v="Female"/>
    <s v="Jaipur"/>
    <x v="4"/>
    <x v="1"/>
    <d v="2024-04-11T00:00:00"/>
    <d v="2023-03-01T00:00:00"/>
    <n v="7000"/>
    <n v="0"/>
    <n v="7000"/>
    <x v="1"/>
    <s v="Yes"/>
    <n v="0"/>
    <n v="33"/>
    <s v="No"/>
    <n v="77"/>
    <n v="0"/>
  </r>
  <r>
    <n v="43"/>
    <s v="S1018"/>
    <s v="Harsh Vardhan"/>
    <n v="32"/>
    <s v="Male"/>
    <s v="Delhi"/>
    <x v="2"/>
    <x v="1"/>
    <d v="2024-12-19T00:00:00"/>
    <d v="2025-04-13T00:00:00"/>
    <n v="6000"/>
    <n v="1000"/>
    <n v="5000"/>
    <x v="0"/>
    <s v="Yes"/>
    <n v="3"/>
    <n v="2"/>
    <s v="Yes"/>
    <n v="0"/>
    <n v="1000"/>
  </r>
  <r>
    <n v="44"/>
    <s v="S1119"/>
    <s v="Heena Agarwal"/>
    <n v="33"/>
    <s v="Female"/>
    <s v="Bangalore"/>
    <x v="7"/>
    <x v="3"/>
    <d v="2024-03-27T00:00:00"/>
    <d v="2023-03-01T00:00:00"/>
    <n v="4000"/>
    <n v="0"/>
    <n v="4000"/>
    <x v="0"/>
    <s v="Yes"/>
    <n v="9"/>
    <n v="42"/>
    <s v="Yes"/>
    <n v="0"/>
    <n v="0"/>
  </r>
  <r>
    <n v="45"/>
    <s v="S1069"/>
    <s v="Himanshu Agarwal"/>
    <n v="31"/>
    <s v="Male"/>
    <s v="Chandigarh"/>
    <x v="2"/>
    <x v="1"/>
    <d v="2024-07-21T00:00:00"/>
    <d v="2024-11-09T00:00:00"/>
    <n v="4000"/>
    <n v="1000"/>
    <n v="3000"/>
    <x v="0"/>
    <s v="No"/>
    <n v="9"/>
    <n v="7"/>
    <s v="No"/>
    <n v="0"/>
    <n v="1000"/>
  </r>
  <r>
    <n v="46"/>
    <s v="S1132"/>
    <s v="Imran Khan"/>
    <n v="25"/>
    <s v="Male"/>
    <s v="Chandigarh"/>
    <x v="1"/>
    <x v="0"/>
    <d v="2024-06-18T00:00:00"/>
    <d v="2024-09-27T00:00:00"/>
    <n v="3000"/>
    <n v="0"/>
    <n v="3000"/>
    <x v="1"/>
    <s v="No"/>
    <n v="9"/>
    <n v="37"/>
    <s v="No"/>
    <n v="0"/>
    <n v="0"/>
  </r>
  <r>
    <n v="47"/>
    <s v="S1030"/>
    <s v="Ira Malhotra"/>
    <n v="31"/>
    <s v="Female"/>
    <s v="Delhi"/>
    <x v="0"/>
    <x v="0"/>
    <d v="2024-06-28T00:00:00"/>
    <d v="2024-07-26T00:00:00"/>
    <n v="6000"/>
    <n v="0"/>
    <n v="6000"/>
    <x v="0"/>
    <s v="Yes"/>
    <n v="4"/>
    <n v="39"/>
    <s v="No"/>
    <n v="0"/>
    <n v="0"/>
  </r>
  <r>
    <n v="48"/>
    <s v="S1009"/>
    <s v="Ishaan Khan"/>
    <n v="34"/>
    <s v="Male"/>
    <s v="Hyderabad"/>
    <x v="6"/>
    <x v="0"/>
    <d v="2024-07-23T00:00:00"/>
    <d v="2024-10-16T00:00:00"/>
    <n v="6000"/>
    <n v="0"/>
    <n v="6000"/>
    <x v="0"/>
    <s v="Yes"/>
    <n v="4"/>
    <n v="21"/>
    <s v="Yes"/>
    <n v="37"/>
    <n v="0"/>
  </r>
  <r>
    <n v="49"/>
    <s v="S1060"/>
    <s v="Ishita Sharma"/>
    <n v="34"/>
    <s v="Female"/>
    <s v="Jaipur"/>
    <x v="3"/>
    <x v="2"/>
    <d v="2024-11-25T00:00:00"/>
    <d v="2023-03-01T00:00:00"/>
    <n v="6000"/>
    <n v="500"/>
    <n v="5500"/>
    <x v="0"/>
    <s v="No"/>
    <n v="8"/>
    <n v="28"/>
    <s v="Yes"/>
    <n v="0"/>
    <n v="500"/>
  </r>
  <r>
    <n v="50"/>
    <s v="S1141"/>
    <s v="Joseph Dsouza"/>
    <n v="31"/>
    <s v="Male"/>
    <s v="Hyderabad"/>
    <x v="7"/>
    <x v="3"/>
    <d v="2024-09-29T00:00:00"/>
    <d v="2024-11-03T00:00:00"/>
    <n v="5000"/>
    <n v="1000"/>
    <n v="4000"/>
    <x v="1"/>
    <s v="Yes"/>
    <n v="9"/>
    <n v="6"/>
    <s v="No"/>
    <n v="48"/>
    <n v="1000"/>
  </r>
  <r>
    <n v="51"/>
    <s v="S1076"/>
    <s v="Jyoti Patel"/>
    <n v="22"/>
    <s v="Female"/>
    <s v="Bangalore"/>
    <x v="4"/>
    <x v="1"/>
    <d v="2024-08-12T00:00:00"/>
    <d v="2024-08-17T00:00:00"/>
    <n v="5000"/>
    <n v="500"/>
    <n v="4500"/>
    <x v="0"/>
    <s v="Yes"/>
    <n v="5"/>
    <n v="34"/>
    <s v="No"/>
    <n v="19"/>
    <n v="500"/>
  </r>
  <r>
    <n v="52"/>
    <s v="S1013"/>
    <s v="Kabir Mehta"/>
    <n v="32"/>
    <s v="Male"/>
    <s v="Jaipur"/>
    <x v="3"/>
    <x v="2"/>
    <d v="2024-03-20T00:00:00"/>
    <d v="2024-04-13T00:00:00"/>
    <n v="3000"/>
    <n v="0"/>
    <n v="3000"/>
    <x v="0"/>
    <s v="Yes"/>
    <n v="1"/>
    <n v="3"/>
    <s v="No"/>
    <n v="64"/>
    <n v="0"/>
  </r>
  <r>
    <n v="53"/>
    <s v="S1109"/>
    <s v="Kapil Agarwal"/>
    <n v="35"/>
    <s v="Male"/>
    <s v="Jaipur"/>
    <x v="2"/>
    <x v="1"/>
    <d v="2024-12-14T00:00:00"/>
    <d v="2023-03-01T00:00:00"/>
    <n v="3000"/>
    <n v="0"/>
    <n v="3000"/>
    <x v="0"/>
    <s v="Yes"/>
    <n v="3"/>
    <n v="26"/>
    <s v="No"/>
    <n v="7"/>
    <n v="0"/>
  </r>
  <r>
    <n v="54"/>
    <s v="S1085"/>
    <s v="Kartik Verma"/>
    <n v="28"/>
    <s v="Male"/>
    <s v="Ahmedabad"/>
    <x v="1"/>
    <x v="0"/>
    <d v="2024-03-26T00:00:00"/>
    <d v="2024-06-22T00:00:00"/>
    <n v="6000"/>
    <n v="0"/>
    <n v="6000"/>
    <x v="0"/>
    <s v="Yes"/>
    <n v="0"/>
    <n v="40"/>
    <s v="Yes"/>
    <n v="85"/>
    <n v="0"/>
  </r>
  <r>
    <n v="55"/>
    <s v="S1033"/>
    <s v="Kavya Nair"/>
    <n v="26"/>
    <s v="Female"/>
    <s v="Kolkata"/>
    <x v="6"/>
    <x v="0"/>
    <d v="2024-06-14T00:00:00"/>
    <d v="2024-01-10T00:00:00"/>
    <n v="5000"/>
    <n v="500"/>
    <n v="4500"/>
    <x v="1"/>
    <s v="No"/>
    <n v="10"/>
    <n v="24"/>
    <s v="Yes"/>
    <n v="0"/>
    <n v="500"/>
  </r>
  <r>
    <n v="56"/>
    <s v="S1142"/>
    <s v="Kevin Dsouza"/>
    <n v="22"/>
    <s v="Male"/>
    <s v="Pune"/>
    <x v="1"/>
    <x v="0"/>
    <d v="2024-09-07T00:00:00"/>
    <d v="2024-09-25T00:00:00"/>
    <n v="5000"/>
    <n v="500"/>
    <n v="4500"/>
    <x v="0"/>
    <s v="No"/>
    <n v="0"/>
    <n v="32"/>
    <s v="Yes"/>
    <n v="0"/>
    <n v="500"/>
  </r>
  <r>
    <n v="57"/>
    <s v="S1072"/>
    <s v="Khushi Singh"/>
    <n v="32"/>
    <s v="Female"/>
    <s v="Chandigarh"/>
    <x v="5"/>
    <x v="0"/>
    <d v="2024-06-13T00:00:00"/>
    <d v="2024-08-29T00:00:00"/>
    <n v="3000"/>
    <n v="500"/>
    <n v="2500"/>
    <x v="1"/>
    <s v="Yes"/>
    <n v="9"/>
    <n v="11"/>
    <s v="Yes"/>
    <n v="0"/>
    <n v="500"/>
  </r>
  <r>
    <n v="58"/>
    <s v="S1098"/>
    <s v="Kiran Jain"/>
    <n v="28"/>
    <s v="Female"/>
    <s v="Chandigarh"/>
    <x v="6"/>
    <x v="0"/>
    <d v="2024-10-30T00:00:00"/>
    <d v="2023-03-01T00:00:00"/>
    <n v="5000"/>
    <n v="0"/>
    <n v="5000"/>
    <x v="1"/>
    <s v="No"/>
    <n v="0"/>
    <n v="43"/>
    <s v="Yes"/>
    <n v="0"/>
    <n v="0"/>
  </r>
  <r>
    <n v="59"/>
    <s v="S1053"/>
    <s v="Komal Gupta"/>
    <n v="27"/>
    <s v="Female"/>
    <s v="Pune"/>
    <x v="4"/>
    <x v="1"/>
    <d v="2024-02-16T00:00:00"/>
    <d v="2024-06-11T00:00:00"/>
    <n v="5000"/>
    <n v="500"/>
    <n v="4500"/>
    <x v="1"/>
    <s v="No"/>
    <n v="0"/>
    <n v="33"/>
    <s v="No"/>
    <n v="58"/>
    <n v="500"/>
  </r>
  <r>
    <n v="60"/>
    <s v="S1008"/>
    <s v="Krishna Yadav"/>
    <n v="28"/>
    <s v="Male"/>
    <s v="Mumbai"/>
    <x v="6"/>
    <x v="0"/>
    <d v="2024-02-05T00:00:00"/>
    <d v="2024-09-05T00:00:00"/>
    <n v="3000"/>
    <n v="500"/>
    <n v="2500"/>
    <x v="0"/>
    <s v="Yes"/>
    <n v="9"/>
    <n v="42"/>
    <s v="No"/>
    <n v="60"/>
    <n v="500"/>
  </r>
  <r>
    <n v="61"/>
    <s v="S1017"/>
    <s v="Kunal Malhotra"/>
    <n v="26"/>
    <s v="Male"/>
    <s v="Hyderabad"/>
    <x v="7"/>
    <x v="3"/>
    <d v="2024-04-14T00:00:00"/>
    <d v="2024-07-10T00:00:00"/>
    <n v="7000"/>
    <n v="500"/>
    <n v="6500"/>
    <x v="1"/>
    <s v="Yes"/>
    <n v="0"/>
    <n v="2"/>
    <s v="Yes"/>
    <n v="16"/>
    <n v="500"/>
  </r>
  <r>
    <n v="62"/>
    <s v="S1081"/>
    <s v="Lakshya Sharma"/>
    <n v="27"/>
    <s v="Male"/>
    <s v="Pune"/>
    <x v="1"/>
    <x v="0"/>
    <d v="2024-04-05T00:00:00"/>
    <d v="2024-06-29T00:00:00"/>
    <n v="7000"/>
    <n v="1000"/>
    <n v="6000"/>
    <x v="1"/>
    <s v="Yes"/>
    <n v="9"/>
    <n v="35"/>
    <s v="Yes"/>
    <n v="24"/>
    <n v="1000"/>
  </r>
  <r>
    <n v="63"/>
    <s v="S1116"/>
    <s v="Lata Patel"/>
    <n v="20"/>
    <s v="Female"/>
    <s v="Chennai"/>
    <x v="0"/>
    <x v="0"/>
    <d v="2024-02-07T00:00:00"/>
    <d v="2024-03-02T00:00:00"/>
    <n v="6000"/>
    <n v="500"/>
    <n v="5500"/>
    <x v="0"/>
    <s v="Yes"/>
    <n v="5"/>
    <n v="12"/>
    <s v="Yes"/>
    <n v="47"/>
    <n v="500"/>
  </r>
  <r>
    <n v="64"/>
    <s v="S1105"/>
    <s v="Lokesh Verma"/>
    <n v="28"/>
    <s v="Male"/>
    <s v="Jaipur"/>
    <x v="3"/>
    <x v="2"/>
    <d v="2024-03-09T00:00:00"/>
    <d v="2023-03-01T00:00:00"/>
    <n v="5000"/>
    <n v="500"/>
    <n v="4500"/>
    <x v="0"/>
    <s v="Yes"/>
    <n v="3"/>
    <n v="29"/>
    <s v="Yes"/>
    <n v="45"/>
    <n v="500"/>
  </r>
  <r>
    <n v="65"/>
    <s v="S1099"/>
    <s v="Madhu Agarwal"/>
    <n v="33"/>
    <s v="Female"/>
    <s v="Delhi"/>
    <x v="3"/>
    <x v="2"/>
    <d v="2024-03-28T00:00:00"/>
    <d v="2023-03-01T00:00:00"/>
    <n v="4000"/>
    <n v="500"/>
    <n v="3500"/>
    <x v="1"/>
    <s v="Yes"/>
    <n v="2"/>
    <n v="28"/>
    <s v="Yes"/>
    <n v="0"/>
    <n v="500"/>
  </r>
  <r>
    <n v="66"/>
    <s v="S1127"/>
    <s v="Mahesh Kumar"/>
    <n v="20"/>
    <s v="Male"/>
    <s v="Delhi"/>
    <x v="1"/>
    <x v="0"/>
    <d v="2024-07-17T00:00:00"/>
    <d v="2024-10-24T00:00:00"/>
    <n v="7000"/>
    <n v="0"/>
    <n v="7000"/>
    <x v="1"/>
    <s v="No"/>
    <n v="7"/>
    <n v="17"/>
    <s v="Yes"/>
    <n v="17"/>
    <n v="0"/>
  </r>
  <r>
    <n v="67"/>
    <s v="S1103"/>
    <s v="Manav Gupta"/>
    <n v="25"/>
    <s v="Male"/>
    <s v="Jaipur"/>
    <x v="5"/>
    <x v="0"/>
    <d v="2024-01-27T00:00:00"/>
    <d v="2024-02-08T00:00:00"/>
    <n v="5000"/>
    <n v="500"/>
    <n v="4500"/>
    <x v="1"/>
    <s v="No"/>
    <n v="1"/>
    <n v="10"/>
    <s v="No"/>
    <n v="0"/>
    <n v="500"/>
  </r>
  <r>
    <n v="68"/>
    <s v="S1046"/>
    <s v="Manish Verma"/>
    <n v="34"/>
    <s v="Male"/>
    <s v="Chennai"/>
    <x v="6"/>
    <x v="0"/>
    <d v="2024-10-27T00:00:00"/>
    <d v="2023-03-01T00:00:00"/>
    <n v="6000"/>
    <n v="500"/>
    <n v="5500"/>
    <x v="0"/>
    <s v="Yes"/>
    <n v="0"/>
    <n v="35"/>
    <s v="No"/>
    <n v="0"/>
    <n v="500"/>
  </r>
  <r>
    <n v="69"/>
    <s v="S1078"/>
    <s v="Mansi Jain"/>
    <n v="26"/>
    <s v="Female"/>
    <s v="Bangalore"/>
    <x v="2"/>
    <x v="1"/>
    <d v="2024-04-23T00:00:00"/>
    <d v="2024-08-05T00:00:00"/>
    <n v="3000"/>
    <n v="500"/>
    <n v="2500"/>
    <x v="1"/>
    <s v="No"/>
    <n v="9"/>
    <n v="24"/>
    <s v="Yes"/>
    <n v="23"/>
    <n v="500"/>
  </r>
  <r>
    <n v="70"/>
    <s v="S1090"/>
    <s v="Mayank Sharma"/>
    <n v="22"/>
    <s v="Male"/>
    <s v="Mumbai"/>
    <x v="3"/>
    <x v="2"/>
    <d v="2024-12-14T00:00:00"/>
    <d v="2025-02-18T00:00:00"/>
    <n v="6000"/>
    <n v="0"/>
    <n v="6000"/>
    <x v="0"/>
    <s v="Yes"/>
    <n v="0"/>
    <n v="32"/>
    <s v="Yes"/>
    <n v="15"/>
    <n v="0"/>
  </r>
  <r>
    <n v="71"/>
    <s v="S1037"/>
    <s v="Mehak Arora"/>
    <n v="33"/>
    <s v="Female"/>
    <s v="Chennai"/>
    <x v="3"/>
    <x v="2"/>
    <d v="2024-08-13T00:00:00"/>
    <d v="2024-09-25T00:00:00"/>
    <n v="5000"/>
    <n v="500"/>
    <n v="4500"/>
    <x v="1"/>
    <s v="Yes"/>
    <n v="7"/>
    <n v="36"/>
    <s v="Yes"/>
    <n v="19"/>
    <n v="500"/>
  </r>
  <r>
    <n v="72"/>
    <s v="S1050"/>
    <s v="Mohit Agarwal"/>
    <n v="31"/>
    <s v="Male"/>
    <s v="Mumbai"/>
    <x v="1"/>
    <x v="0"/>
    <d v="2024-11-13T00:00:00"/>
    <d v="2023-03-01T00:00:00"/>
    <n v="7000"/>
    <n v="500"/>
    <n v="6500"/>
    <x v="1"/>
    <s v="No"/>
    <n v="0"/>
    <n v="42"/>
    <s v="Yes"/>
    <n v="0"/>
    <n v="500"/>
  </r>
  <r>
    <n v="73"/>
    <s v="S1111"/>
    <s v="Monika Sharma"/>
    <n v="30"/>
    <s v="Female"/>
    <s v="Kolkata"/>
    <x v="4"/>
    <x v="1"/>
    <d v="2024-11-30T00:00:00"/>
    <d v="2025-03-20T00:00:00"/>
    <n v="4000"/>
    <n v="0"/>
    <n v="4000"/>
    <x v="0"/>
    <s v="Yes"/>
    <n v="3"/>
    <n v="48"/>
    <s v="Yes"/>
    <n v="59"/>
    <n v="0"/>
  </r>
  <r>
    <n v="74"/>
    <s v="S1129"/>
    <s v="Mukesh Kumar"/>
    <n v="28"/>
    <s v="Male"/>
    <s v="Chandigarh"/>
    <x v="6"/>
    <x v="0"/>
    <d v="2024-06-13T00:00:00"/>
    <d v="2024-08-29T00:00:00"/>
    <n v="6000"/>
    <n v="1000"/>
    <n v="5000"/>
    <x v="1"/>
    <s v="No"/>
    <n v="5"/>
    <n v="44"/>
    <s v="No"/>
    <n v="0"/>
    <n v="1000"/>
  </r>
  <r>
    <n v="75"/>
    <s v="S1059"/>
    <s v="Muskan Agarwal"/>
    <n v="18"/>
    <s v="Female"/>
    <s v="Hyderabad"/>
    <x v="7"/>
    <x v="3"/>
    <d v="2024-01-09T00:00:00"/>
    <d v="2024-01-31T00:00:00"/>
    <n v="4000"/>
    <n v="500"/>
    <n v="3500"/>
    <x v="0"/>
    <s v="Yes"/>
    <n v="0"/>
    <n v="49"/>
    <s v="Yes"/>
    <n v="32"/>
    <n v="500"/>
  </r>
  <r>
    <n v="76"/>
    <s v="S1024"/>
    <s v="Myra Nair"/>
    <n v="28"/>
    <s v="Female"/>
    <s v="Chennai"/>
    <x v="5"/>
    <x v="0"/>
    <d v="2024-03-16T00:00:00"/>
    <d v="2024-03-19T00:00:00"/>
    <n v="6000"/>
    <n v="0"/>
    <n v="6000"/>
    <x v="0"/>
    <s v="Yes"/>
    <n v="7"/>
    <n v="36"/>
    <s v="No"/>
    <n v="0"/>
    <n v="0"/>
  </r>
  <r>
    <n v="77"/>
    <s v="S1073"/>
    <s v="Nandini Gupta"/>
    <n v="34"/>
    <s v="Female"/>
    <s v="Pune"/>
    <x v="1"/>
    <x v="0"/>
    <d v="2024-07-28T00:00:00"/>
    <d v="2024-04-11T00:00:00"/>
    <n v="6000"/>
    <n v="1000"/>
    <n v="5000"/>
    <x v="1"/>
    <s v="Yes"/>
    <n v="9"/>
    <n v="24"/>
    <s v="Yes"/>
    <n v="84"/>
    <n v="1000"/>
  </r>
  <r>
    <n v="78"/>
    <s v="S1126"/>
    <s v="Naresh Kumar"/>
    <n v="28"/>
    <s v="Male"/>
    <s v="Delhi"/>
    <x v="3"/>
    <x v="2"/>
    <d v="2024-07-03T00:00:00"/>
    <d v="2024-08-10T00:00:00"/>
    <n v="4000"/>
    <n v="0"/>
    <n v="4000"/>
    <x v="1"/>
    <s v="No"/>
    <n v="9"/>
    <n v="32"/>
    <s v="No"/>
    <n v="6"/>
    <n v="0"/>
  </r>
  <r>
    <n v="79"/>
    <s v="S1028"/>
    <s v="Navya Iyer"/>
    <n v="30"/>
    <s v="Female"/>
    <s v="Chennai"/>
    <x v="1"/>
    <x v="0"/>
    <d v="2024-10-02T00:00:00"/>
    <d v="2025-01-05T00:00:00"/>
    <n v="6000"/>
    <n v="500"/>
    <n v="5500"/>
    <x v="1"/>
    <s v="No"/>
    <n v="0"/>
    <n v="21"/>
    <s v="No"/>
    <n v="0"/>
    <n v="500"/>
  </r>
  <r>
    <n v="80"/>
    <s v="S1035"/>
    <s v="Neha Joshi"/>
    <n v="20"/>
    <s v="Female"/>
    <s v="Hyderabad"/>
    <x v="7"/>
    <x v="3"/>
    <d v="2024-08-30T00:00:00"/>
    <d v="2024-11-08T00:00:00"/>
    <n v="6000"/>
    <n v="0"/>
    <n v="6000"/>
    <x v="1"/>
    <s v="Yes"/>
    <n v="0"/>
    <n v="16"/>
    <s v="No"/>
    <n v="0"/>
    <n v="0"/>
  </r>
  <r>
    <n v="81"/>
    <s v="S1145"/>
    <s v="Neil Dsouza"/>
    <n v="29"/>
    <s v="Male"/>
    <s v="Chennai"/>
    <x v="5"/>
    <x v="0"/>
    <d v="2024-07-08T00:00:00"/>
    <d v="2024-10-29T00:00:00"/>
    <n v="3000"/>
    <n v="500"/>
    <n v="2500"/>
    <x v="0"/>
    <s v="Yes"/>
    <n v="3"/>
    <n v="33"/>
    <s v="No"/>
    <n v="1"/>
    <n v="500"/>
  </r>
  <r>
    <n v="82"/>
    <s v="S1052"/>
    <s v="Nidhi Singh"/>
    <n v="30"/>
    <s v="Female"/>
    <s v="Chandigarh"/>
    <x v="0"/>
    <x v="0"/>
    <d v="2024-11-06T00:00:00"/>
    <d v="2025-02-09T00:00:00"/>
    <n v="6000"/>
    <n v="500"/>
    <n v="5500"/>
    <x v="0"/>
    <s v="Yes"/>
    <n v="4"/>
    <n v="16"/>
    <s v="No"/>
    <n v="12"/>
    <n v="500"/>
  </r>
  <r>
    <n v="83"/>
    <s v="S1044"/>
    <s v="Nikhil Gupta"/>
    <n v="24"/>
    <s v="Male"/>
    <s v="Bangalore"/>
    <x v="3"/>
    <x v="2"/>
    <d v="2024-12-23T00:00:00"/>
    <d v="2025-02-23T00:00:00"/>
    <n v="5000"/>
    <n v="0"/>
    <n v="5000"/>
    <x v="0"/>
    <s v="No"/>
    <n v="5"/>
    <n v="0"/>
    <s v="No"/>
    <n v="26"/>
    <n v="0"/>
  </r>
  <r>
    <n v="84"/>
    <s v="S1117"/>
    <s v="Nikita Mishra"/>
    <n v="24"/>
    <s v="Female"/>
    <s v="Pune"/>
    <x v="1"/>
    <x v="0"/>
    <d v="2024-08-26T00:00:00"/>
    <d v="2024-11-02T00:00:00"/>
    <n v="5000"/>
    <n v="1000"/>
    <n v="4000"/>
    <x v="1"/>
    <s v="Yes"/>
    <n v="8"/>
    <n v="46"/>
    <s v="No"/>
    <n v="48"/>
    <n v="1000"/>
  </r>
  <r>
    <n v="85"/>
    <s v="S1063"/>
    <s v="Nitin Gupta"/>
    <n v="35"/>
    <s v="Male"/>
    <s v="Mumbai"/>
    <x v="7"/>
    <x v="3"/>
    <d v="2024-12-06T00:00:00"/>
    <d v="2025-05-04T00:00:00"/>
    <n v="5000"/>
    <n v="0"/>
    <n v="5000"/>
    <x v="1"/>
    <s v="Yes"/>
    <n v="10"/>
    <n v="13"/>
    <s v="No"/>
    <n v="42"/>
    <n v="0"/>
  </r>
  <r>
    <n v="86"/>
    <s v="S1121"/>
    <s v="Om Prakash"/>
    <n v="34"/>
    <s v="Male"/>
    <s v="Mumbai"/>
    <x v="4"/>
    <x v="1"/>
    <d v="2024-05-03T00:00:00"/>
    <d v="2024-05-27T00:00:00"/>
    <n v="6000"/>
    <n v="1000"/>
    <n v="5000"/>
    <x v="1"/>
    <s v="No"/>
    <n v="0"/>
    <n v="29"/>
    <s v="No"/>
    <n v="15"/>
    <n v="1000"/>
  </r>
  <r>
    <n v="87"/>
    <s v="S1071"/>
    <s v="Palak Sharma"/>
    <n v="20"/>
    <s v="Female"/>
    <s v="Chennai"/>
    <x v="0"/>
    <x v="0"/>
    <d v="2024-06-29T00:00:00"/>
    <d v="2024-09-01T00:00:00"/>
    <n v="6000"/>
    <n v="500"/>
    <n v="5500"/>
    <x v="1"/>
    <s v="Yes"/>
    <n v="6"/>
    <n v="41"/>
    <s v="Yes"/>
    <n v="76"/>
    <n v="500"/>
  </r>
  <r>
    <n v="88"/>
    <s v="S1092"/>
    <s v="Pallavi Singh"/>
    <n v="28"/>
    <s v="Female"/>
    <s v="Delhi"/>
    <x v="6"/>
    <x v="0"/>
    <d v="2024-11-29T00:00:00"/>
    <d v="2023-03-01T00:00:00"/>
    <n v="7000"/>
    <n v="0"/>
    <n v="7000"/>
    <x v="0"/>
    <s v="No"/>
    <n v="5"/>
    <n v="19"/>
    <s v="No"/>
    <n v="0"/>
    <n v="0"/>
  </r>
  <r>
    <n v="89"/>
    <s v="S1082"/>
    <s v="Parth Singh"/>
    <n v="29"/>
    <s v="Male"/>
    <s v="Mumbai"/>
    <x v="5"/>
    <x v="0"/>
    <d v="2024-02-12T00:00:00"/>
    <d v="2025-02-20T00:00:00"/>
    <n v="4000"/>
    <n v="0"/>
    <n v="4000"/>
    <x v="1"/>
    <s v="Yes"/>
    <n v="3"/>
    <n v="29"/>
    <s v="No"/>
    <n v="40"/>
    <n v="0"/>
  </r>
  <r>
    <n v="90"/>
    <s v="S1057"/>
    <s v="Payal Mishra"/>
    <n v="32"/>
    <s v="Female"/>
    <s v="Mumbai"/>
    <x v="7"/>
    <x v="3"/>
    <d v="2024-10-05T00:00:00"/>
    <d v="2025-01-28T00:00:00"/>
    <n v="3000"/>
    <n v="500"/>
    <n v="2500"/>
    <x v="1"/>
    <s v="No"/>
    <n v="2"/>
    <n v="42"/>
    <s v="No"/>
    <n v="81"/>
    <n v="500"/>
  </r>
  <r>
    <n v="91"/>
    <s v="S1106"/>
    <s v="Piyush Patel"/>
    <n v="27"/>
    <s v="Male"/>
    <s v="Kolkata"/>
    <x v="7"/>
    <x v="3"/>
    <d v="2024-02-14T00:00:00"/>
    <d v="2024-05-04T00:00:00"/>
    <n v="4000"/>
    <n v="500"/>
    <n v="3500"/>
    <x v="0"/>
    <s v="Yes"/>
    <n v="0"/>
    <n v="24"/>
    <s v="No"/>
    <n v="0"/>
    <n v="500"/>
  </r>
  <r>
    <n v="92"/>
    <s v="S1032"/>
    <s v="Pooja Sharma"/>
    <n v="19"/>
    <s v="Female"/>
    <s v="Kolkata"/>
    <x v="7"/>
    <x v="3"/>
    <d v="2024-02-05T00:00:00"/>
    <d v="2024-04-09T00:00:00"/>
    <n v="3000"/>
    <n v="500"/>
    <n v="2500"/>
    <x v="0"/>
    <s v="No"/>
    <n v="0"/>
    <n v="40"/>
    <s v="No"/>
    <n v="0"/>
    <n v="500"/>
  </r>
  <r>
    <n v="93"/>
    <s v="S1108"/>
    <s v="Prashant Jain"/>
    <n v="29"/>
    <s v="Male"/>
    <s v="Jaipur"/>
    <x v="5"/>
    <x v="0"/>
    <d v="2024-05-06T00:00:00"/>
    <d v="2024-01-08T00:00:00"/>
    <n v="7000"/>
    <n v="500"/>
    <n v="6500"/>
    <x v="0"/>
    <s v="No"/>
    <n v="2"/>
    <n v="7"/>
    <s v="Yes"/>
    <n v="70"/>
    <n v="500"/>
  </r>
  <r>
    <n v="94"/>
    <s v="S1054"/>
    <s v="Preeti Yadav"/>
    <n v="27"/>
    <s v="Female"/>
    <s v="Ahmedabad"/>
    <x v="4"/>
    <x v="1"/>
    <d v="2024-04-25T00:00:00"/>
    <d v="2023-03-01T00:00:00"/>
    <n v="6000"/>
    <n v="0"/>
    <n v="6000"/>
    <x v="1"/>
    <s v="Yes"/>
    <n v="0"/>
    <n v="34"/>
    <s v="Yes"/>
    <n v="47"/>
    <n v="0"/>
  </r>
  <r>
    <n v="95"/>
    <s v="S1086"/>
    <s v="Prince Patel"/>
    <n v="29"/>
    <s v="Male"/>
    <s v="Bangalore"/>
    <x v="3"/>
    <x v="2"/>
    <d v="2024-01-18T00:00:00"/>
    <d v="2024-02-03T00:00:00"/>
    <n v="6000"/>
    <n v="1000"/>
    <n v="5000"/>
    <x v="1"/>
    <s v="No"/>
    <n v="1"/>
    <n v="9"/>
    <s v="No"/>
    <n v="0"/>
    <n v="1000"/>
  </r>
  <r>
    <n v="96"/>
    <s v="S1034"/>
    <s v="Priya Menon"/>
    <n v="24"/>
    <s v="Female"/>
    <s v="Pune"/>
    <x v="6"/>
    <x v="0"/>
    <d v="2024-10-11T00:00:00"/>
    <d v="2024-10-12T00:00:00"/>
    <n v="3000"/>
    <n v="500"/>
    <n v="2500"/>
    <x v="0"/>
    <s v="No"/>
    <n v="8"/>
    <n v="44"/>
    <s v="No"/>
    <n v="0"/>
    <n v="500"/>
  </r>
  <r>
    <n v="97"/>
    <s v="S1079"/>
    <s v="Radhika Agarwal"/>
    <n v="21"/>
    <s v="Female"/>
    <s v="Delhi"/>
    <x v="3"/>
    <x v="2"/>
    <d v="2024-12-22T00:00:00"/>
    <d v="2023-03-01T00:00:00"/>
    <n v="6000"/>
    <n v="0"/>
    <n v="6000"/>
    <x v="1"/>
    <s v="Yes"/>
    <n v="1"/>
    <n v="9"/>
    <s v="No"/>
    <n v="77"/>
    <n v="0"/>
  </r>
  <r>
    <n v="98"/>
    <s v="S1041"/>
    <s v="Rahul Sharma"/>
    <n v="34"/>
    <s v="Male"/>
    <s v="Mumbai"/>
    <x v="0"/>
    <x v="0"/>
    <d v="2024-08-09T00:00:00"/>
    <d v="2024-11-11T00:00:00"/>
    <n v="3000"/>
    <n v="0"/>
    <n v="3000"/>
    <x v="1"/>
    <s v="No"/>
    <n v="10"/>
    <n v="48"/>
    <s v="Yes"/>
    <n v="36"/>
    <n v="0"/>
  </r>
  <r>
    <n v="99"/>
    <s v="S1047"/>
    <s v="Rajesh Patel"/>
    <n v="25"/>
    <s v="Male"/>
    <s v="Delhi"/>
    <x v="3"/>
    <x v="2"/>
    <d v="2024-12-27T00:00:00"/>
    <d v="2023-03-01T00:00:00"/>
    <n v="5000"/>
    <n v="500"/>
    <n v="4500"/>
    <x v="0"/>
    <s v="Yes"/>
    <n v="9"/>
    <n v="21"/>
    <s v="Yes"/>
    <n v="55"/>
    <n v="500"/>
  </r>
  <r>
    <n v="100"/>
    <s v="S1067"/>
    <s v="Rakesh Mishra"/>
    <n v="19"/>
    <s v="Male"/>
    <s v="Hyderabad"/>
    <x v="6"/>
    <x v="0"/>
    <d v="2024-05-28T00:00:00"/>
    <d v="2024-08-07T00:00:00"/>
    <n v="6000"/>
    <n v="500"/>
    <n v="5500"/>
    <x v="1"/>
    <s v="No"/>
    <n v="9"/>
    <n v="14"/>
    <s v="No"/>
    <n v="0"/>
    <n v="500"/>
  </r>
  <r>
    <n v="101"/>
    <s v="S1130"/>
    <s v="Ramesh Kumar"/>
    <n v="30"/>
    <s v="Male"/>
    <s v="Chandigarh"/>
    <x v="4"/>
    <x v="1"/>
    <d v="2024-12-15T00:00:00"/>
    <d v="2025-03-23T00:00:00"/>
    <n v="5000"/>
    <n v="500"/>
    <n v="4500"/>
    <x v="0"/>
    <s v="No"/>
    <n v="5"/>
    <n v="4"/>
    <s v="No"/>
    <n v="43"/>
    <n v="500"/>
  </r>
  <r>
    <n v="102"/>
    <s v="S1122"/>
    <s v="Ravi Kant"/>
    <n v="20"/>
    <s v="Male"/>
    <s v="Kolkata"/>
    <x v="3"/>
    <x v="2"/>
    <d v="2024-01-29T00:00:00"/>
    <d v="2024-04-19T00:00:00"/>
    <n v="3000"/>
    <n v="500"/>
    <n v="2500"/>
    <x v="0"/>
    <s v="No"/>
    <n v="6"/>
    <n v="33"/>
    <s v="Yes"/>
    <n v="27"/>
    <n v="500"/>
  </r>
  <r>
    <n v="103"/>
    <s v="S1100"/>
    <s v="Reena Sharma"/>
    <n v="34"/>
    <s v="Female"/>
    <s v="Delhi"/>
    <x v="4"/>
    <x v="1"/>
    <d v="2024-09-22T00:00:00"/>
    <d v="2024-10-18T00:00:00"/>
    <n v="5000"/>
    <n v="500"/>
    <n v="4500"/>
    <x v="0"/>
    <s v="No"/>
    <n v="0"/>
    <n v="34"/>
    <s v="Yes"/>
    <n v="45"/>
    <n v="500"/>
  </r>
  <r>
    <n v="104"/>
    <s v="S1093"/>
    <s v="Rekha Gupta"/>
    <n v="32"/>
    <s v="Female"/>
    <s v="Ahmedabad"/>
    <x v="3"/>
    <x v="2"/>
    <d v="2024-08-25T00:00:00"/>
    <d v="2024-09-20T00:00:00"/>
    <n v="5000"/>
    <n v="1000"/>
    <n v="4000"/>
    <x v="0"/>
    <s v="Yes"/>
    <n v="0"/>
    <n v="32"/>
    <s v="No"/>
    <n v="6"/>
    <n v="1000"/>
  </r>
  <r>
    <n v="105"/>
    <s v="S1007"/>
    <s v="Reyansh Shah"/>
    <n v="26"/>
    <s v="Male"/>
    <s v="Chennai"/>
    <x v="4"/>
    <x v="1"/>
    <d v="2024-08-20T00:00:00"/>
    <d v="2024-08-20T00:00:00"/>
    <n v="7000"/>
    <n v="500"/>
    <n v="6500"/>
    <x v="0"/>
    <s v="Yes"/>
    <n v="9"/>
    <n v="12"/>
    <s v="No"/>
    <n v="20"/>
    <n v="500"/>
  </r>
  <r>
    <n v="106"/>
    <s v="S1039"/>
    <s v="Ritika Gupta"/>
    <n v="26"/>
    <s v="Female"/>
    <s v="Bangalore"/>
    <x v="2"/>
    <x v="1"/>
    <d v="2024-03-21T00:00:00"/>
    <d v="2023-03-01T00:00:00"/>
    <n v="5000"/>
    <n v="0"/>
    <n v="5000"/>
    <x v="0"/>
    <s v="Yes"/>
    <n v="0"/>
    <n v="45"/>
    <s v="Yes"/>
    <n v="44"/>
    <n v="0"/>
  </r>
  <r>
    <n v="107"/>
    <s v="S1056"/>
    <s v="Ritu Patel"/>
    <n v="33"/>
    <s v="Female"/>
    <s v="Jaipur"/>
    <x v="1"/>
    <x v="0"/>
    <d v="2024-08-20T00:00:00"/>
    <d v="2023-03-01T00:00:00"/>
    <n v="7000"/>
    <n v="500"/>
    <n v="6500"/>
    <x v="0"/>
    <s v="No"/>
    <n v="8"/>
    <n v="26"/>
    <s v="Yes"/>
    <n v="0"/>
    <n v="500"/>
  </r>
  <r>
    <n v="108"/>
    <s v="S1029"/>
    <s v="Riya Banerjee"/>
    <n v="18"/>
    <s v="Female"/>
    <s v="Chandigarh"/>
    <x v="0"/>
    <x v="0"/>
    <d v="2024-02-12T00:00:00"/>
    <d v="2024-05-04T00:00:00"/>
    <n v="6000"/>
    <n v="500"/>
    <n v="5500"/>
    <x v="1"/>
    <s v="Yes"/>
    <n v="0"/>
    <n v="13"/>
    <s v="No"/>
    <n v="0"/>
    <n v="500"/>
  </r>
  <r>
    <n v="109"/>
    <s v="S1019"/>
    <s v="Rohan Choudhary"/>
    <n v="21"/>
    <s v="Male"/>
    <s v="Kolkata"/>
    <x v="4"/>
    <x v="1"/>
    <d v="2024-01-05T00:00:00"/>
    <d v="2024-08-19T00:00:00"/>
    <n v="6000"/>
    <n v="0"/>
    <n v="6000"/>
    <x v="1"/>
    <s v="No"/>
    <n v="7"/>
    <n v="47"/>
    <s v="No"/>
    <n v="20"/>
    <n v="0"/>
  </r>
  <r>
    <n v="110"/>
    <s v="S1087"/>
    <s v="Rohit Mishra"/>
    <n v="22"/>
    <s v="Male"/>
    <s v="Pune"/>
    <x v="6"/>
    <x v="0"/>
    <d v="2024-07-05T00:00:00"/>
    <d v="2024-05-21T00:00:00"/>
    <n v="6000"/>
    <n v="0"/>
    <n v="6000"/>
    <x v="0"/>
    <s v="Yes"/>
    <n v="0"/>
    <n v="45"/>
    <s v="No"/>
    <n v="0"/>
    <n v="0"/>
  </r>
  <r>
    <n v="111"/>
    <s v="S1120"/>
    <s v="Ruby Sharma"/>
    <n v="25"/>
    <s v="Female"/>
    <s v="Hyderabad"/>
    <x v="3"/>
    <x v="2"/>
    <d v="2024-07-10T00:00:00"/>
    <d v="2023-03-01T00:00:00"/>
    <n v="5000"/>
    <n v="500"/>
    <n v="4500"/>
    <x v="1"/>
    <s v="Yes"/>
    <n v="0"/>
    <n v="0"/>
    <s v="Yes"/>
    <n v="35"/>
    <n v="500"/>
  </r>
  <r>
    <n v="112"/>
    <s v="S1014"/>
    <s v="Rudra Saxena"/>
    <n v="19"/>
    <s v="Male"/>
    <s v="Mumbai"/>
    <x v="2"/>
    <x v="1"/>
    <d v="2024-11-12T00:00:00"/>
    <d v="2023-03-01T00:00:00"/>
    <n v="3000"/>
    <n v="0"/>
    <n v="3000"/>
    <x v="1"/>
    <s v="Yes"/>
    <n v="1"/>
    <n v="5"/>
    <s v="No"/>
    <n v="74"/>
    <n v="0"/>
  </r>
  <r>
    <n v="113"/>
    <s v="S1143"/>
    <s v="Ryan Dsouza"/>
    <n v="28"/>
    <s v="Male"/>
    <s v="Ahmedabad"/>
    <x v="7"/>
    <x v="3"/>
    <d v="2024-02-02T00:00:00"/>
    <d v="2023-03-01T00:00:00"/>
    <n v="4000"/>
    <n v="500"/>
    <n v="3500"/>
    <x v="0"/>
    <s v="No"/>
    <n v="0"/>
    <n v="18"/>
    <s v="Yes"/>
    <n v="35"/>
    <n v="500"/>
  </r>
  <r>
    <n v="114"/>
    <s v="S1064"/>
    <s v="Sachin Yadav"/>
    <n v="35"/>
    <s v="Male"/>
    <s v="Chennai"/>
    <x v="5"/>
    <x v="0"/>
    <d v="2024-08-07T00:00:00"/>
    <d v="2024-11-23T00:00:00"/>
    <n v="7000"/>
    <n v="1000"/>
    <n v="6000"/>
    <x v="1"/>
    <s v="No"/>
    <n v="0"/>
    <n v="22"/>
    <s v="Yes"/>
    <n v="18"/>
    <n v="1000"/>
  </r>
  <r>
    <n v="115"/>
    <s v="S1006"/>
    <s v="Sai Patel"/>
    <n v="22"/>
    <s v="Male"/>
    <s v="Delhi"/>
    <x v="4"/>
    <x v="1"/>
    <d v="2024-11-17T00:00:00"/>
    <d v="2023-03-01T00:00:00"/>
    <n v="7000"/>
    <n v="0"/>
    <n v="7000"/>
    <x v="0"/>
    <s v="No"/>
    <n v="8"/>
    <n v="16"/>
    <s v="No"/>
    <n v="1"/>
    <n v="0"/>
  </r>
  <r>
    <n v="116"/>
    <s v="S1139"/>
    <s v="Saif Khan"/>
    <n v="32"/>
    <s v="Male"/>
    <s v="Chandigarh"/>
    <x v="5"/>
    <x v="0"/>
    <d v="2024-05-29T00:00:00"/>
    <d v="2024-06-02T00:00:00"/>
    <n v="7000"/>
    <n v="1000"/>
    <n v="6000"/>
    <x v="1"/>
    <s v="No"/>
    <n v="8"/>
    <n v="32"/>
    <s v="Yes"/>
    <n v="0"/>
    <n v="1000"/>
  </r>
  <r>
    <n v="117"/>
    <s v="S1051"/>
    <s v="Sakshi Sharma"/>
    <n v="20"/>
    <s v="Female"/>
    <s v="Chandigarh"/>
    <x v="1"/>
    <x v="0"/>
    <d v="2024-12-19T00:00:00"/>
    <d v="2025-01-20T00:00:00"/>
    <n v="4000"/>
    <n v="500"/>
    <n v="3500"/>
    <x v="0"/>
    <s v="No"/>
    <n v="0"/>
    <n v="36"/>
    <s v="Yes"/>
    <n v="37"/>
    <n v="500"/>
  </r>
  <r>
    <n v="118"/>
    <s v="S1135"/>
    <s v="Sameer Khan"/>
    <n v="30"/>
    <s v="Male"/>
    <s v="Kolkata"/>
    <x v="0"/>
    <x v="0"/>
    <d v="2024-10-11T00:00:00"/>
    <d v="2023-03-01T00:00:00"/>
    <n v="7000"/>
    <n v="500"/>
    <n v="6500"/>
    <x v="0"/>
    <s v="Yes"/>
    <n v="0"/>
    <n v="48"/>
    <s v="Yes"/>
    <n v="13"/>
    <n v="500"/>
  </r>
  <r>
    <n v="119"/>
    <s v="S1148"/>
    <s v="Samuel Dsouza"/>
    <n v="25"/>
    <s v="Male"/>
    <s v="Jaipur"/>
    <x v="6"/>
    <x v="0"/>
    <d v="2024-12-19T00:00:00"/>
    <d v="2024-12-22T00:00:00"/>
    <n v="4000"/>
    <n v="0"/>
    <n v="4000"/>
    <x v="0"/>
    <s v="Yes"/>
    <n v="0"/>
    <n v="41"/>
    <s v="Yes"/>
    <n v="0"/>
    <n v="0"/>
  </r>
  <r>
    <n v="120"/>
    <s v="S1045"/>
    <s v="Sandeep Yadav"/>
    <n v="32"/>
    <s v="Female"/>
    <s v="Chennai"/>
    <x v="6"/>
    <x v="0"/>
    <d v="2024-07-31T00:00:00"/>
    <d v="2023-03-01T00:00:00"/>
    <n v="4000"/>
    <n v="500"/>
    <n v="3500"/>
    <x v="0"/>
    <s v="No"/>
    <n v="4"/>
    <n v="32"/>
    <s v="No"/>
    <n v="0"/>
    <n v="500"/>
  </r>
  <r>
    <n v="121"/>
    <s v="S1027"/>
    <s v="Sara Ali"/>
    <n v="35"/>
    <s v="Female"/>
    <s v="Hyderabad"/>
    <x v="4"/>
    <x v="1"/>
    <d v="2024-12-27T00:00:00"/>
    <d v="2023-03-01T00:00:00"/>
    <n v="6000"/>
    <n v="1000"/>
    <n v="5000"/>
    <x v="0"/>
    <s v="No"/>
    <n v="7"/>
    <n v="26"/>
    <s v="No"/>
    <n v="74"/>
    <n v="1000"/>
  </r>
  <r>
    <n v="122"/>
    <s v="S1094"/>
    <s v="Seema Yadav"/>
    <n v="26"/>
    <s v="Female"/>
    <s v="Bangalore"/>
    <x v="0"/>
    <x v="0"/>
    <d v="2024-05-28T00:00:00"/>
    <d v="2023-03-01T00:00:00"/>
    <n v="4000"/>
    <n v="500"/>
    <n v="3500"/>
    <x v="0"/>
    <s v="Yes"/>
    <n v="10"/>
    <n v="48"/>
    <s v="No"/>
    <n v="0"/>
    <n v="500"/>
  </r>
  <r>
    <n v="123"/>
    <s v="S1010"/>
    <s v="Shaurya Joshi"/>
    <n v="25"/>
    <s v="Male"/>
    <s v="Delhi"/>
    <x v="2"/>
    <x v="1"/>
    <d v="2024-01-17T00:00:00"/>
    <d v="2024-06-05T00:00:00"/>
    <n v="7000"/>
    <n v="500"/>
    <n v="6500"/>
    <x v="1"/>
    <s v="No"/>
    <n v="4"/>
    <n v="8"/>
    <s v="No"/>
    <n v="36"/>
    <n v="500"/>
  </r>
  <r>
    <n v="124"/>
    <s v="S1112"/>
    <s v="Sheetal Singh"/>
    <n v="35"/>
    <s v="Female"/>
    <s v="Hyderabad"/>
    <x v="7"/>
    <x v="3"/>
    <d v="2024-03-20T00:00:00"/>
    <d v="2024-04-24T00:00:00"/>
    <n v="3000"/>
    <n v="500"/>
    <n v="2500"/>
    <x v="0"/>
    <s v="Yes"/>
    <n v="4"/>
    <n v="6"/>
    <s v="No"/>
    <n v="57"/>
    <n v="500"/>
  </r>
  <r>
    <n v="125"/>
    <s v="S1083"/>
    <s v="Shivam Gupta"/>
    <n v="19"/>
    <s v="Male"/>
    <s v="Delhi"/>
    <x v="0"/>
    <x v="0"/>
    <d v="2024-06-10T00:00:00"/>
    <d v="2023-03-01T00:00:00"/>
    <n v="6000"/>
    <n v="0"/>
    <n v="6000"/>
    <x v="0"/>
    <s v="Yes"/>
    <n v="0"/>
    <n v="22"/>
    <s v="Yes"/>
    <n v="0"/>
    <n v="0"/>
  </r>
  <r>
    <n v="126"/>
    <s v="S1040"/>
    <s v="Shreya Iyer"/>
    <n v="24"/>
    <s v="Female"/>
    <s v="Jaipur"/>
    <x v="4"/>
    <x v="1"/>
    <d v="2024-05-16T00:00:00"/>
    <d v="2024-08-29T00:00:00"/>
    <n v="3000"/>
    <n v="500"/>
    <n v="2500"/>
    <x v="0"/>
    <s v="Yes"/>
    <n v="0"/>
    <n v="28"/>
    <s v="Yes"/>
    <n v="0"/>
    <n v="500"/>
  </r>
  <r>
    <n v="127"/>
    <s v="S1101"/>
    <s v="Siddharth Sharma"/>
    <n v="33"/>
    <s v="Male"/>
    <s v="Jaipur"/>
    <x v="5"/>
    <x v="0"/>
    <d v="2024-06-01T00:00:00"/>
    <d v="2024-09-07T00:00:00"/>
    <n v="5000"/>
    <n v="500"/>
    <n v="4500"/>
    <x v="1"/>
    <s v="No"/>
    <n v="9"/>
    <n v="17"/>
    <s v="Yes"/>
    <n v="73"/>
    <n v="500"/>
  </r>
  <r>
    <n v="128"/>
    <s v="S1036"/>
    <s v="Simran Kaur"/>
    <n v="35"/>
    <s v="Female"/>
    <s v="Ahmedabad"/>
    <x v="6"/>
    <x v="0"/>
    <d v="2024-02-21T00:00:00"/>
    <d v="2024-06-06T00:00:00"/>
    <n v="4000"/>
    <n v="1000"/>
    <n v="3000"/>
    <x v="1"/>
    <s v="Yes"/>
    <n v="1"/>
    <n v="17"/>
    <s v="Yes"/>
    <n v="0"/>
    <n v="1000"/>
  </r>
  <r>
    <n v="129"/>
    <s v="S1031"/>
    <s v="Sneha Kulkarni"/>
    <n v="32"/>
    <s v="Female"/>
    <s v="Bangalore"/>
    <x v="2"/>
    <x v="1"/>
    <d v="2024-03-24T00:00:00"/>
    <d v="2024-02-05T00:00:00"/>
    <n v="5000"/>
    <n v="0"/>
    <n v="5000"/>
    <x v="0"/>
    <s v="No"/>
    <n v="7"/>
    <n v="37"/>
    <s v="No"/>
    <n v="0"/>
    <n v="0"/>
  </r>
  <r>
    <n v="130"/>
    <s v="S1091"/>
    <s v="Sonal Sharma"/>
    <n v="27"/>
    <s v="Female"/>
    <s v="Hyderabad"/>
    <x v="6"/>
    <x v="0"/>
    <d v="2024-10-02T00:00:00"/>
    <d v="2024-03-13T00:00:00"/>
    <n v="4000"/>
    <n v="1000"/>
    <n v="3000"/>
    <x v="0"/>
    <s v="Yes"/>
    <n v="9"/>
    <n v="10"/>
    <s v="No"/>
    <n v="60"/>
    <n v="1000"/>
  </r>
  <r>
    <n v="131"/>
    <s v="S1115"/>
    <s v="Suman Verma"/>
    <n v="35"/>
    <s v="Female"/>
    <s v="Hyderabad"/>
    <x v="4"/>
    <x v="1"/>
    <d v="2024-08-25T00:00:00"/>
    <d v="2023-03-01T00:00:00"/>
    <n v="6000"/>
    <n v="0"/>
    <n v="6000"/>
    <x v="0"/>
    <s v="No"/>
    <n v="0"/>
    <n v="13"/>
    <s v="Yes"/>
    <n v="0"/>
    <n v="0"/>
  </r>
  <r>
    <n v="132"/>
    <s v="S1088"/>
    <s v="Sumit Jain"/>
    <n v="24"/>
    <s v="Male"/>
    <s v="Ahmedabad"/>
    <x v="3"/>
    <x v="2"/>
    <d v="2024-02-14T00:00:00"/>
    <d v="2024-05-27T00:00:00"/>
    <n v="5000"/>
    <n v="1000"/>
    <n v="4000"/>
    <x v="0"/>
    <s v="Yes"/>
    <n v="0"/>
    <n v="19"/>
    <s v="No"/>
    <n v="90"/>
    <n v="1000"/>
  </r>
  <r>
    <n v="133"/>
    <s v="S1096"/>
    <s v="Sunita Patel"/>
    <n v="29"/>
    <s v="Female"/>
    <s v="Delhi"/>
    <x v="0"/>
    <x v="0"/>
    <d v="2024-10-18T00:00:00"/>
    <d v="2024-12-28T00:00:00"/>
    <n v="7000"/>
    <n v="1000"/>
    <n v="6000"/>
    <x v="1"/>
    <s v="No"/>
    <n v="8"/>
    <n v="17"/>
    <s v="No"/>
    <n v="43"/>
    <n v="1000"/>
  </r>
  <r>
    <n v="134"/>
    <s v="S1123"/>
    <s v="Suraj Kumar"/>
    <n v="33"/>
    <s v="Male"/>
    <s v="Chennai"/>
    <x v="0"/>
    <x v="0"/>
    <d v="2024-04-01T00:00:00"/>
    <d v="2024-07-28T00:00:00"/>
    <n v="4000"/>
    <n v="0"/>
    <n v="4000"/>
    <x v="1"/>
    <s v="No"/>
    <n v="0"/>
    <n v="10"/>
    <s v="No"/>
    <n v="0"/>
    <n v="0"/>
  </r>
  <r>
    <n v="135"/>
    <s v="S1128"/>
    <s v="Suresh Kumar"/>
    <n v="31"/>
    <s v="Male"/>
    <s v="Chennai"/>
    <x v="2"/>
    <x v="1"/>
    <d v="2024-03-07T00:00:00"/>
    <d v="2023-03-01T00:00:00"/>
    <n v="7000"/>
    <n v="0"/>
    <n v="7000"/>
    <x v="1"/>
    <s v="No"/>
    <n v="0"/>
    <n v="0"/>
    <s v="No"/>
    <n v="0"/>
    <n v="0"/>
  </r>
  <r>
    <n v="136"/>
    <s v="S1055"/>
    <s v="Swati Verma"/>
    <n v="30"/>
    <s v="Female"/>
    <s v="Hyderabad"/>
    <x v="0"/>
    <x v="0"/>
    <d v="2024-11-13T00:00:00"/>
    <d v="2025-03-06T00:00:00"/>
    <n v="7000"/>
    <n v="500"/>
    <n v="6500"/>
    <x v="0"/>
    <s v="Yes"/>
    <n v="5"/>
    <n v="26"/>
    <s v="Yes"/>
    <n v="8"/>
    <n v="500"/>
  </r>
  <r>
    <n v="137"/>
    <s v="S1038"/>
    <s v="Tanvi Desai"/>
    <n v="20"/>
    <s v="Female"/>
    <s v="Kolkata"/>
    <x v="5"/>
    <x v="0"/>
    <d v="2024-09-24T00:00:00"/>
    <d v="2023-03-01T00:00:00"/>
    <n v="5000"/>
    <n v="0"/>
    <n v="5000"/>
    <x v="0"/>
    <s v="Yes"/>
    <n v="10"/>
    <n v="39"/>
    <s v="Yes"/>
    <n v="26"/>
    <n v="0"/>
  </r>
  <r>
    <n v="138"/>
    <s v="S1080"/>
    <s v="Tanya Sharma"/>
    <n v="21"/>
    <s v="Female"/>
    <s v="Mumbai"/>
    <x v="5"/>
    <x v="0"/>
    <d v="2024-08-02T00:00:00"/>
    <d v="2023-03-01T00:00:00"/>
    <n v="3000"/>
    <n v="0"/>
    <n v="3000"/>
    <x v="0"/>
    <s v="No"/>
    <n v="10"/>
    <n v="40"/>
    <s v="No"/>
    <n v="30"/>
    <n v="0"/>
  </r>
  <r>
    <n v="139"/>
    <s v="S1062"/>
    <s v="Tarun Singh"/>
    <n v="31"/>
    <s v="Male"/>
    <s v="Kolkata"/>
    <x v="2"/>
    <x v="1"/>
    <d v="2024-06-09T00:00:00"/>
    <d v="2024-08-02T00:00:00"/>
    <n v="5000"/>
    <n v="500"/>
    <n v="4500"/>
    <x v="0"/>
    <s v="No"/>
    <n v="2"/>
    <n v="5"/>
    <s v="No"/>
    <n v="6"/>
    <n v="500"/>
  </r>
  <r>
    <n v="140"/>
    <s v="S1084"/>
    <s v="Uday Yadav"/>
    <n v="29"/>
    <s v="Male"/>
    <s v="Ahmedabad"/>
    <x v="7"/>
    <x v="3"/>
    <d v="2024-04-05T00:00:00"/>
    <d v="2023-03-01T00:00:00"/>
    <n v="5000"/>
    <n v="0"/>
    <n v="5000"/>
    <x v="1"/>
    <s v="Yes"/>
    <n v="0"/>
    <n v="38"/>
    <s v="No"/>
    <n v="0"/>
    <n v="0"/>
  </r>
  <r>
    <n v="141"/>
    <s v="S1114"/>
    <s v="Usha Yadav"/>
    <n v="27"/>
    <s v="Female"/>
    <s v="Chandigarh"/>
    <x v="4"/>
    <x v="1"/>
    <d v="2024-11-16T00:00:00"/>
    <d v="2023-03-01T00:00:00"/>
    <n v="3000"/>
    <n v="1000"/>
    <n v="2000"/>
    <x v="0"/>
    <s v="No"/>
    <n v="0"/>
    <n v="44"/>
    <s v="No"/>
    <n v="0"/>
    <n v="1000"/>
  </r>
  <r>
    <n v="142"/>
    <s v="S1061"/>
    <s v="Varun Sharma"/>
    <n v="22"/>
    <s v="Male"/>
    <s v="Chandigarh"/>
    <x v="7"/>
    <x v="3"/>
    <d v="2024-07-14T00:00:00"/>
    <d v="2024-09-28T00:00:00"/>
    <n v="6000"/>
    <n v="0"/>
    <n v="6000"/>
    <x v="0"/>
    <s v="No"/>
    <n v="2"/>
    <n v="41"/>
    <s v="No"/>
    <n v="0"/>
    <n v="0"/>
  </r>
  <r>
    <n v="143"/>
    <s v="S1149"/>
    <s v="Victor Dsouza"/>
    <n v="25"/>
    <s v="Male"/>
    <s v="Chandigarh"/>
    <x v="0"/>
    <x v="0"/>
    <d v="2024-07-03T00:00:00"/>
    <d v="2024-10-30T00:00:00"/>
    <n v="6000"/>
    <n v="0"/>
    <n v="6000"/>
    <x v="0"/>
    <s v="Yes"/>
    <n v="0"/>
    <n v="49"/>
    <s v="Yes"/>
    <n v="1"/>
    <n v="0"/>
  </r>
  <r>
    <n v="144"/>
    <s v="S1004"/>
    <s v="Vihaan Gupta"/>
    <n v="29"/>
    <s v="Male"/>
    <s v="Chennai"/>
    <x v="2"/>
    <x v="1"/>
    <d v="2024-07-11T00:00:00"/>
    <d v="2025-01-27T00:00:00"/>
    <n v="4000"/>
    <n v="500"/>
    <n v="3500"/>
    <x v="0"/>
    <s v="Yes"/>
    <n v="4"/>
    <n v="20"/>
    <s v="Yes"/>
    <n v="0"/>
    <n v="500"/>
  </r>
  <r>
    <n v="145"/>
    <s v="S1043"/>
    <s v="Vikas Kumar"/>
    <n v="19"/>
    <s v="Male"/>
    <s v="Chennai"/>
    <x v="2"/>
    <x v="1"/>
    <d v="2024-07-25T00:00:00"/>
    <d v="2024-12-11T00:00:00"/>
    <n v="5000"/>
    <n v="0"/>
    <n v="5000"/>
    <x v="0"/>
    <s v="No"/>
    <n v="4"/>
    <n v="23"/>
    <s v="No"/>
    <n v="63"/>
    <n v="0"/>
  </r>
  <r>
    <n v="146"/>
    <s v="S1124"/>
    <s v="Vinod Kumar"/>
    <n v="28"/>
    <s v="Male"/>
    <s v="Mumbai"/>
    <x v="7"/>
    <x v="3"/>
    <d v="2024-01-28T00:00:00"/>
    <d v="2024-02-09T00:00:00"/>
    <n v="6000"/>
    <n v="0"/>
    <n v="6000"/>
    <x v="1"/>
    <s v="Yes"/>
    <n v="0"/>
    <n v="49"/>
    <s v="Yes"/>
    <n v="0"/>
    <n v="0"/>
  </r>
  <r>
    <n v="147"/>
    <s v="S1002"/>
    <s v="Vivaan Singh"/>
    <n v="25"/>
    <s v="Male"/>
    <s v="Chennai"/>
    <x v="4"/>
    <x v="1"/>
    <d v="2024-12-23T00:00:00"/>
    <d v="2025-02-15T00:00:00"/>
    <n v="4000"/>
    <n v="500"/>
    <n v="3500"/>
    <x v="0"/>
    <s v="Yes"/>
    <n v="0"/>
    <n v="6"/>
    <s v="Yes"/>
    <n v="44"/>
    <n v="500"/>
  </r>
  <r>
    <n v="148"/>
    <s v="S1066"/>
    <s v="Vivek Patel"/>
    <n v="32"/>
    <s v="Male"/>
    <s v="Chandigarh"/>
    <x v="1"/>
    <x v="0"/>
    <d v="2024-05-19T00:00:00"/>
    <d v="2024-06-15T00:00:00"/>
    <n v="5000"/>
    <n v="500"/>
    <n v="4500"/>
    <x v="1"/>
    <s v="Yes"/>
    <n v="8"/>
    <n v="42"/>
    <s v="Yes"/>
    <n v="0"/>
    <n v="500"/>
  </r>
  <r>
    <n v="149"/>
    <s v="S1016"/>
    <s v="Yash Jain"/>
    <n v="22"/>
    <s v="Male"/>
    <s v="Hyderabad"/>
    <x v="6"/>
    <x v="0"/>
    <d v="2024-03-21T00:00:00"/>
    <d v="2024-05-16T00:00:00"/>
    <n v="7000"/>
    <n v="0"/>
    <n v="7000"/>
    <x v="1"/>
    <s v="No"/>
    <n v="5"/>
    <n v="6"/>
    <s v="No"/>
    <n v="16"/>
    <n v="0"/>
  </r>
  <r>
    <n v="150"/>
    <s v="S1138"/>
    <s v="Zaid Khan"/>
    <n v="23"/>
    <s v="Male"/>
    <s v="Bangalore"/>
    <x v="7"/>
    <x v="3"/>
    <d v="2024-08-18T00:00:00"/>
    <d v="2024-11-05T00:00:00"/>
    <n v="3000"/>
    <n v="500"/>
    <n v="2500"/>
    <x v="1"/>
    <s v="No"/>
    <n v="9"/>
    <n v="41"/>
    <s v="No"/>
    <n v="0"/>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9497F-E5F1-4BC0-A40F-9FBAEF78FBC8}" name="Overallcomple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I2:J4" firstHeaderRow="1" firstDataRow="1" firstDataCol="1"/>
  <pivotFields count="20">
    <pivotField showAll="0"/>
    <pivotField showAll="0"/>
    <pivotField showAll="0"/>
    <pivotField showAll="0"/>
    <pivotField showAll="0"/>
    <pivotField showAll="0"/>
    <pivotField showAll="0"/>
    <pivotField showAll="0">
      <items count="5">
        <item x="0"/>
        <item x="2"/>
        <item x="1"/>
        <item x="3"/>
        <item t="default"/>
      </items>
    </pivotField>
    <pivotField numFmtId="14" showAll="0"/>
    <pivotField numFmtId="14"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s>
  <rowFields count="1">
    <field x="13"/>
  </rowFields>
  <rowItems count="2">
    <i>
      <x/>
    </i>
    <i>
      <x v="1"/>
    </i>
  </rowItems>
  <colItems count="1">
    <i/>
  </colItems>
  <dataFields count="1">
    <dataField name="Overall Student Completion Status" fld="13" subtotal="count" baseField="0" baseItem="0"/>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DF4004-C518-4B11-AADC-61ACD52F3417}" name="Completionbycourse"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8">
  <location ref="A2:D12" firstHeaderRow="1" firstDataRow="2" firstDataCol="1"/>
  <pivotFields count="20">
    <pivotField showAll="0"/>
    <pivotField showAll="0"/>
    <pivotField showAll="0"/>
    <pivotField showAll="0"/>
    <pivotField showAll="0"/>
    <pivotField showAll="0"/>
    <pivotField axis="axisRow" showAll="0">
      <items count="9">
        <item x="4"/>
        <item x="1"/>
        <item x="0"/>
        <item x="3"/>
        <item x="2"/>
        <item x="6"/>
        <item x="7"/>
        <item x="5"/>
        <item t="default"/>
      </items>
    </pivotField>
    <pivotField showAll="0">
      <items count="5">
        <item x="0"/>
        <item x="2"/>
        <item x="1"/>
        <item x="3"/>
        <item t="default"/>
      </items>
    </pivotField>
    <pivotField numFmtId="14" showAll="0"/>
    <pivotField numFmtId="14"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s>
  <rowFields count="1">
    <field x="6"/>
  </rowFields>
  <rowItems count="9">
    <i>
      <x/>
    </i>
    <i>
      <x v="1"/>
    </i>
    <i>
      <x v="2"/>
    </i>
    <i>
      <x v="3"/>
    </i>
    <i>
      <x v="4"/>
    </i>
    <i>
      <x v="5"/>
    </i>
    <i>
      <x v="6"/>
    </i>
    <i>
      <x v="7"/>
    </i>
    <i t="grand">
      <x/>
    </i>
  </rowItems>
  <colFields count="1">
    <field x="13"/>
  </colFields>
  <colItems count="3">
    <i>
      <x/>
    </i>
    <i>
      <x v="1"/>
    </i>
    <i t="grand">
      <x/>
    </i>
  </colItems>
  <dataFields count="1">
    <dataField name="Student Completion and Churn by Cours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621AD-26CE-4907-820D-BDCD4D14796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5:C30" firstHeaderRow="1" firstDataRow="2" firstDataCol="1"/>
  <pivotFields count="20">
    <pivotField showAll="0"/>
    <pivotField showAll="0"/>
    <pivotField showAll="0"/>
    <pivotField showAll="0"/>
    <pivotField showAll="0"/>
    <pivotField showAll="0"/>
    <pivotField showAll="0"/>
    <pivotField axis="axisRow" showAll="0">
      <items count="5">
        <item x="0"/>
        <item x="2"/>
        <item x="1"/>
        <item x="3"/>
        <item t="default"/>
      </items>
    </pivotField>
    <pivotField numFmtId="14" showAll="0"/>
    <pivotField numFmtId="14"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s>
  <rowFields count="1">
    <field x="7"/>
  </rowFields>
  <rowItems count="4">
    <i>
      <x/>
    </i>
    <i>
      <x v="1"/>
    </i>
    <i>
      <x v="2"/>
    </i>
    <i>
      <x v="3"/>
    </i>
  </rowItems>
  <colFields count="1">
    <field x="13"/>
  </colFields>
  <colItems count="2">
    <i>
      <x/>
    </i>
    <i>
      <x v="1"/>
    </i>
  </colItems>
  <dataFields count="1">
    <dataField name="Count of Completion status" fld="13" subtotal="count" baseField="0" baseItem="0"/>
  </dataFields>
  <chartFormats count="42">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0"/>
          </reference>
        </references>
      </pivotArea>
    </chartFormat>
    <chartFormat chart="14" format="3">
      <pivotArea type="data" outline="0" fieldPosition="0">
        <references count="3">
          <reference field="4294967294" count="1" selected="0">
            <x v="0"/>
          </reference>
          <reference field="7" count="1" selected="0">
            <x v="0"/>
          </reference>
          <reference field="13" count="1" selected="0">
            <x v="0"/>
          </reference>
        </references>
      </pivotArea>
    </chartFormat>
    <chartFormat chart="14" format="4">
      <pivotArea type="data" outline="0" fieldPosition="0">
        <references count="3">
          <reference field="4294967294" count="1" selected="0">
            <x v="0"/>
          </reference>
          <reference field="7" count="1" selected="0">
            <x v="1"/>
          </reference>
          <reference field="13" count="1" selected="0">
            <x v="0"/>
          </reference>
        </references>
      </pivotArea>
    </chartFormat>
    <chartFormat chart="14" format="5">
      <pivotArea type="data" outline="0" fieldPosition="0">
        <references count="3">
          <reference field="4294967294" count="1" selected="0">
            <x v="0"/>
          </reference>
          <reference field="7" count="1" selected="0">
            <x v="2"/>
          </reference>
          <reference field="13" count="1" selected="0">
            <x v="0"/>
          </reference>
        </references>
      </pivotArea>
    </chartFormat>
    <chartFormat chart="14" format="6">
      <pivotArea type="data" outline="0" fieldPosition="0">
        <references count="3">
          <reference field="4294967294" count="1" selected="0">
            <x v="0"/>
          </reference>
          <reference field="7" count="1" selected="0">
            <x v="3"/>
          </reference>
          <reference field="13" count="1" selected="0">
            <x v="0"/>
          </reference>
        </references>
      </pivotArea>
    </chartFormat>
    <chartFormat chart="14" format="7" series="1">
      <pivotArea type="data" outline="0" fieldPosition="0">
        <references count="2">
          <reference field="4294967294" count="1" selected="0">
            <x v="0"/>
          </reference>
          <reference field="13" count="1" selected="0">
            <x v="1"/>
          </reference>
        </references>
      </pivotArea>
    </chartFormat>
    <chartFormat chart="14" format="8">
      <pivotArea type="data" outline="0" fieldPosition="0">
        <references count="3">
          <reference field="4294967294" count="1" selected="0">
            <x v="0"/>
          </reference>
          <reference field="7" count="1" selected="0">
            <x v="0"/>
          </reference>
          <reference field="13" count="1" selected="0">
            <x v="1"/>
          </reference>
        </references>
      </pivotArea>
    </chartFormat>
    <chartFormat chart="14" format="9">
      <pivotArea type="data" outline="0" fieldPosition="0">
        <references count="3">
          <reference field="4294967294" count="1" selected="0">
            <x v="0"/>
          </reference>
          <reference field="7" count="1" selected="0">
            <x v="1"/>
          </reference>
          <reference field="13" count="1" selected="0">
            <x v="1"/>
          </reference>
        </references>
      </pivotArea>
    </chartFormat>
    <chartFormat chart="14" format="10">
      <pivotArea type="data" outline="0" fieldPosition="0">
        <references count="3">
          <reference field="4294967294" count="1" selected="0">
            <x v="0"/>
          </reference>
          <reference field="7" count="1" selected="0">
            <x v="2"/>
          </reference>
          <reference field="13" count="1" selected="0">
            <x v="1"/>
          </reference>
        </references>
      </pivotArea>
    </chartFormat>
    <chartFormat chart="14" format="11">
      <pivotArea type="data" outline="0" fieldPosition="0">
        <references count="3">
          <reference field="4294967294" count="1" selected="0">
            <x v="0"/>
          </reference>
          <reference field="7" count="1" selected="0">
            <x v="3"/>
          </reference>
          <reference field="13" count="1" selected="0">
            <x v="1"/>
          </reference>
        </references>
      </pivotArea>
    </chartFormat>
    <chartFormat chart="15" format="12" series="1">
      <pivotArea type="data" outline="0" fieldPosition="0">
        <references count="2">
          <reference field="4294967294" count="1" selected="0">
            <x v="0"/>
          </reference>
          <reference field="13" count="1" selected="0">
            <x v="0"/>
          </reference>
        </references>
      </pivotArea>
    </chartFormat>
    <chartFormat chart="15" format="13">
      <pivotArea type="data" outline="0" fieldPosition="0">
        <references count="3">
          <reference field="4294967294" count="1" selected="0">
            <x v="0"/>
          </reference>
          <reference field="7" count="1" selected="0">
            <x v="0"/>
          </reference>
          <reference field="13" count="1" selected="0">
            <x v="0"/>
          </reference>
        </references>
      </pivotArea>
    </chartFormat>
    <chartFormat chart="15" format="14">
      <pivotArea type="data" outline="0" fieldPosition="0">
        <references count="3">
          <reference field="4294967294" count="1" selected="0">
            <x v="0"/>
          </reference>
          <reference field="7" count="1" selected="0">
            <x v="1"/>
          </reference>
          <reference field="13" count="1" selected="0">
            <x v="0"/>
          </reference>
        </references>
      </pivotArea>
    </chartFormat>
    <chartFormat chart="15" format="15">
      <pivotArea type="data" outline="0" fieldPosition="0">
        <references count="3">
          <reference field="4294967294" count="1" selected="0">
            <x v="0"/>
          </reference>
          <reference field="7" count="1" selected="0">
            <x v="2"/>
          </reference>
          <reference field="13" count="1" selected="0">
            <x v="0"/>
          </reference>
        </references>
      </pivotArea>
    </chartFormat>
    <chartFormat chart="15" format="16">
      <pivotArea type="data" outline="0" fieldPosition="0">
        <references count="3">
          <reference field="4294967294" count="1" selected="0">
            <x v="0"/>
          </reference>
          <reference field="7" count="1" selected="0">
            <x v="3"/>
          </reference>
          <reference field="13" count="1" selected="0">
            <x v="0"/>
          </reference>
        </references>
      </pivotArea>
    </chartFormat>
    <chartFormat chart="15" format="17" series="1">
      <pivotArea type="data" outline="0" fieldPosition="0">
        <references count="2">
          <reference field="4294967294" count="1" selected="0">
            <x v="0"/>
          </reference>
          <reference field="13" count="1" selected="0">
            <x v="1"/>
          </reference>
        </references>
      </pivotArea>
    </chartFormat>
    <chartFormat chart="15" format="18">
      <pivotArea type="data" outline="0" fieldPosition="0">
        <references count="3">
          <reference field="4294967294" count="1" selected="0">
            <x v="0"/>
          </reference>
          <reference field="7" count="1" selected="0">
            <x v="0"/>
          </reference>
          <reference field="13" count="1" selected="0">
            <x v="1"/>
          </reference>
        </references>
      </pivotArea>
    </chartFormat>
    <chartFormat chart="15" format="19">
      <pivotArea type="data" outline="0" fieldPosition="0">
        <references count="3">
          <reference field="4294967294" count="1" selected="0">
            <x v="0"/>
          </reference>
          <reference field="7" count="1" selected="0">
            <x v="1"/>
          </reference>
          <reference field="13" count="1" selected="0">
            <x v="1"/>
          </reference>
        </references>
      </pivotArea>
    </chartFormat>
    <chartFormat chart="15" format="20">
      <pivotArea type="data" outline="0" fieldPosition="0">
        <references count="3">
          <reference field="4294967294" count="1" selected="0">
            <x v="0"/>
          </reference>
          <reference field="7" count="1" selected="0">
            <x v="2"/>
          </reference>
          <reference field="13" count="1" selected="0">
            <x v="1"/>
          </reference>
        </references>
      </pivotArea>
    </chartFormat>
    <chartFormat chart="15" format="21">
      <pivotArea type="data" outline="0" fieldPosition="0">
        <references count="3">
          <reference field="4294967294" count="1" selected="0">
            <x v="0"/>
          </reference>
          <reference field="7" count="1" selected="0">
            <x v="3"/>
          </reference>
          <reference field="13" count="1" selected="0">
            <x v="1"/>
          </reference>
        </references>
      </pivotArea>
    </chartFormat>
    <chartFormat chart="17" format="22" series="1">
      <pivotArea type="data" outline="0" fieldPosition="0">
        <references count="2">
          <reference field="4294967294" count="1" selected="0">
            <x v="0"/>
          </reference>
          <reference field="13" count="1" selected="0">
            <x v="0"/>
          </reference>
        </references>
      </pivotArea>
    </chartFormat>
    <chartFormat chart="17" format="23">
      <pivotArea type="data" outline="0" fieldPosition="0">
        <references count="3">
          <reference field="4294967294" count="1" selected="0">
            <x v="0"/>
          </reference>
          <reference field="7" count="1" selected="0">
            <x v="0"/>
          </reference>
          <reference field="13" count="1" selected="0">
            <x v="0"/>
          </reference>
        </references>
      </pivotArea>
    </chartFormat>
    <chartFormat chart="17" format="24">
      <pivotArea type="data" outline="0" fieldPosition="0">
        <references count="3">
          <reference field="4294967294" count="1" selected="0">
            <x v="0"/>
          </reference>
          <reference field="7" count="1" selected="0">
            <x v="1"/>
          </reference>
          <reference field="13" count="1" selected="0">
            <x v="0"/>
          </reference>
        </references>
      </pivotArea>
    </chartFormat>
    <chartFormat chart="17" format="25">
      <pivotArea type="data" outline="0" fieldPosition="0">
        <references count="3">
          <reference field="4294967294" count="1" selected="0">
            <x v="0"/>
          </reference>
          <reference field="7" count="1" selected="0">
            <x v="2"/>
          </reference>
          <reference field="13" count="1" selected="0">
            <x v="0"/>
          </reference>
        </references>
      </pivotArea>
    </chartFormat>
    <chartFormat chart="17" format="26">
      <pivotArea type="data" outline="0" fieldPosition="0">
        <references count="3">
          <reference field="4294967294" count="1" selected="0">
            <x v="0"/>
          </reference>
          <reference field="7" count="1" selected="0">
            <x v="3"/>
          </reference>
          <reference field="13" count="1" selected="0">
            <x v="0"/>
          </reference>
        </references>
      </pivotArea>
    </chartFormat>
    <chartFormat chart="17" format="27" series="1">
      <pivotArea type="data" outline="0" fieldPosition="0">
        <references count="2">
          <reference field="4294967294" count="1" selected="0">
            <x v="0"/>
          </reference>
          <reference field="13" count="1" selected="0">
            <x v="1"/>
          </reference>
        </references>
      </pivotArea>
    </chartFormat>
    <chartFormat chart="17" format="28">
      <pivotArea type="data" outline="0" fieldPosition="0">
        <references count="3">
          <reference field="4294967294" count="1" selected="0">
            <x v="0"/>
          </reference>
          <reference field="7" count="1" selected="0">
            <x v="0"/>
          </reference>
          <reference field="13" count="1" selected="0">
            <x v="1"/>
          </reference>
        </references>
      </pivotArea>
    </chartFormat>
    <chartFormat chart="17" format="29">
      <pivotArea type="data" outline="0" fieldPosition="0">
        <references count="3">
          <reference field="4294967294" count="1" selected="0">
            <x v="0"/>
          </reference>
          <reference field="7" count="1" selected="0">
            <x v="1"/>
          </reference>
          <reference field="13" count="1" selected="0">
            <x v="1"/>
          </reference>
        </references>
      </pivotArea>
    </chartFormat>
    <chartFormat chart="17" format="30">
      <pivotArea type="data" outline="0" fieldPosition="0">
        <references count="3">
          <reference field="4294967294" count="1" selected="0">
            <x v="0"/>
          </reference>
          <reference field="7" count="1" selected="0">
            <x v="2"/>
          </reference>
          <reference field="13" count="1" selected="0">
            <x v="1"/>
          </reference>
        </references>
      </pivotArea>
    </chartFormat>
    <chartFormat chart="17" format="31">
      <pivotArea type="data" outline="0" fieldPosition="0">
        <references count="3">
          <reference field="4294967294" count="1" selected="0">
            <x v="0"/>
          </reference>
          <reference field="7" count="1" selected="0">
            <x v="3"/>
          </reference>
          <reference field="13" count="1" selected="0">
            <x v="1"/>
          </reference>
        </references>
      </pivotArea>
    </chartFormat>
    <chartFormat chart="9" format="2">
      <pivotArea type="data" outline="0" fieldPosition="0">
        <references count="3">
          <reference field="4294967294" count="1" selected="0">
            <x v="0"/>
          </reference>
          <reference field="7" count="1" selected="0">
            <x v="0"/>
          </reference>
          <reference field="13" count="1" selected="0">
            <x v="0"/>
          </reference>
        </references>
      </pivotArea>
    </chartFormat>
    <chartFormat chart="9" format="3">
      <pivotArea type="data" outline="0" fieldPosition="0">
        <references count="3">
          <reference field="4294967294" count="1" selected="0">
            <x v="0"/>
          </reference>
          <reference field="7" count="1" selected="0">
            <x v="1"/>
          </reference>
          <reference field="13" count="1" selected="0">
            <x v="0"/>
          </reference>
        </references>
      </pivotArea>
    </chartFormat>
    <chartFormat chart="9" format="4">
      <pivotArea type="data" outline="0" fieldPosition="0">
        <references count="3">
          <reference field="4294967294" count="1" selected="0">
            <x v="0"/>
          </reference>
          <reference field="7" count="1" selected="0">
            <x v="2"/>
          </reference>
          <reference field="13" count="1" selected="0">
            <x v="0"/>
          </reference>
        </references>
      </pivotArea>
    </chartFormat>
    <chartFormat chart="9" format="5">
      <pivotArea type="data" outline="0" fieldPosition="0">
        <references count="3">
          <reference field="4294967294" count="1" selected="0">
            <x v="0"/>
          </reference>
          <reference field="7" count="1" selected="0">
            <x v="3"/>
          </reference>
          <reference field="13" count="1" selected="0">
            <x v="0"/>
          </reference>
        </references>
      </pivotArea>
    </chartFormat>
    <chartFormat chart="9" format="6">
      <pivotArea type="data" outline="0" fieldPosition="0">
        <references count="3">
          <reference field="4294967294" count="1" selected="0">
            <x v="0"/>
          </reference>
          <reference field="7" count="1" selected="0">
            <x v="0"/>
          </reference>
          <reference field="13" count="1" selected="0">
            <x v="1"/>
          </reference>
        </references>
      </pivotArea>
    </chartFormat>
    <chartFormat chart="9" format="7">
      <pivotArea type="data" outline="0" fieldPosition="0">
        <references count="3">
          <reference field="4294967294" count="1" selected="0">
            <x v="0"/>
          </reference>
          <reference field="7" count="1" selected="0">
            <x v="1"/>
          </reference>
          <reference field="13" count="1" selected="0">
            <x v="1"/>
          </reference>
        </references>
      </pivotArea>
    </chartFormat>
    <chartFormat chart="9" format="8">
      <pivotArea type="data" outline="0" fieldPosition="0">
        <references count="3">
          <reference field="4294967294" count="1" selected="0">
            <x v="0"/>
          </reference>
          <reference field="7" count="1" selected="0">
            <x v="2"/>
          </reference>
          <reference field="13" count="1" selected="0">
            <x v="1"/>
          </reference>
        </references>
      </pivotArea>
    </chartFormat>
    <chartFormat chart="9" format="9">
      <pivotArea type="data" outline="0" fieldPosition="0">
        <references count="3">
          <reference field="4294967294" count="1" selected="0">
            <x v="0"/>
          </reference>
          <reference field="7" count="1" selected="0">
            <x v="3"/>
          </reference>
          <reference field="13" count="1" selected="0">
            <x v="1"/>
          </reference>
        </references>
      </pivotArea>
    </chartFormat>
    <chartFormat chart="9" format="10">
      <pivotArea type="data" outline="0" fieldPosition="0">
        <references count="2">
          <reference field="4294967294" count="1" selected="0">
            <x v="0"/>
          </reference>
          <reference field="13" count="1" selected="0">
            <x v="0"/>
          </reference>
        </references>
      </pivotArea>
    </chartFormat>
    <chartFormat chart="9"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2F1B7-C6A5-4DE9-AAED-4F519153362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E14:G22" firstHeaderRow="0" firstDataRow="1" firstDataCol="1"/>
  <pivotFields count="20">
    <pivotField showAll="0"/>
    <pivotField showAll="0"/>
    <pivotField showAll="0"/>
    <pivotField showAll="0"/>
    <pivotField showAll="0"/>
    <pivotField showAll="0"/>
    <pivotField axis="axisRow" showAll="0">
      <items count="9">
        <item x="4"/>
        <item x="1"/>
        <item x="0"/>
        <item x="3"/>
        <item x="2"/>
        <item x="6"/>
        <item x="7"/>
        <item x="5"/>
        <item t="default"/>
      </items>
    </pivotField>
    <pivotField showAll="0">
      <items count="5">
        <item x="0"/>
        <item x="2"/>
        <item x="1"/>
        <item x="3"/>
        <item t="default"/>
      </items>
    </pivotField>
    <pivotField numFmtId="14" showAll="0"/>
    <pivotField numFmtId="14" showAll="0"/>
    <pivotField showAll="0"/>
    <pivotField showAll="0"/>
    <pivotField showAll="0"/>
    <pivotField showAll="0"/>
    <pivotField showAll="0"/>
    <pivotField showAll="0"/>
    <pivotField showAll="0"/>
    <pivotField showAll="0"/>
    <pivotField dataField="1" showAll="0"/>
    <pivotField dataField="1" showAll="0"/>
  </pivotFields>
  <rowFields count="1">
    <field x="6"/>
  </rowFields>
  <rowItems count="8">
    <i>
      <x/>
    </i>
    <i>
      <x v="1"/>
    </i>
    <i>
      <x v="2"/>
    </i>
    <i>
      <x v="3"/>
    </i>
    <i>
      <x v="4"/>
    </i>
    <i>
      <x v="5"/>
    </i>
    <i>
      <x v="6"/>
    </i>
    <i>
      <x v="7"/>
    </i>
  </rowItems>
  <colFields count="1">
    <field x="-2"/>
  </colFields>
  <colItems count="2">
    <i>
      <x/>
    </i>
    <i i="1">
      <x v="1"/>
    </i>
  </colItems>
  <dataFields count="2">
    <dataField name="Inactivity" fld="18" subtotal="average" baseField="0" baseItem="0"/>
    <dataField name="Vs Loss of revenue" fld="19" baseField="0" baseItem="0"/>
  </dataFields>
  <formats count="2">
    <format dxfId="25">
      <pivotArea collapsedLevelsAreSubtotals="1" fieldPosition="0">
        <references count="1">
          <reference field="6" count="0"/>
        </references>
      </pivotArea>
    </format>
    <format dxfId="26">
      <pivotArea dataOnly="0" labelOnly="1" outline="0" fieldPosition="0">
        <references count="1">
          <reference field="4294967294" count="1">
            <x v="0"/>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973B0B-879A-4944-9B26-6AEDFB867B88}" name="Revenuelo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23" firstHeaderRow="1" firstDataRow="1" firstDataCol="1"/>
  <pivotFields count="20">
    <pivotField showAll="0"/>
    <pivotField showAll="0"/>
    <pivotField showAll="0"/>
    <pivotField showAll="0"/>
    <pivotField showAll="0"/>
    <pivotField showAll="0"/>
    <pivotField axis="axisRow" showAll="0">
      <items count="9">
        <item x="4"/>
        <item x="1"/>
        <item x="0"/>
        <item x="3"/>
        <item x="2"/>
        <item x="6"/>
        <item x="7"/>
        <item x="5"/>
        <item t="default"/>
      </items>
    </pivotField>
    <pivotField showAll="0">
      <items count="5">
        <item x="0"/>
        <item x="2"/>
        <item x="1"/>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9">
    <i>
      <x/>
    </i>
    <i>
      <x v="1"/>
    </i>
    <i>
      <x v="2"/>
    </i>
    <i>
      <x v="3"/>
    </i>
    <i>
      <x v="4"/>
    </i>
    <i>
      <x v="5"/>
    </i>
    <i>
      <x v="6"/>
    </i>
    <i>
      <x v="7"/>
    </i>
    <i t="grand">
      <x/>
    </i>
  </rowItems>
  <colItems count="1">
    <i/>
  </colItems>
  <dataFields count="1">
    <dataField name="Revenue Loss by Course" fld="19"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category" xr10:uid="{0E4AC778-3BE3-4703-8422-C998573A047D}" sourceName="Course category">
  <pivotTables>
    <pivotTable tabId="14" name="Completionbycourse"/>
    <pivotTable tabId="14" name="Overallcompletion"/>
    <pivotTable tabId="14" name="Revenueloss"/>
    <pivotTable tabId="14" name="PivotTable4"/>
    <pivotTable tabId="14" name="PivotTable5"/>
  </pivotTables>
  <data>
    <tabular pivotCacheId="67791052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category" xr10:uid="{202F8ACC-379F-4AF9-AC1D-862FD927D4C5}" cache="Slicer_Course_category" caption="Course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category 1" xr10:uid="{F68807FF-98DC-470D-971A-2108BB82BD44}" cache="Slicer_Course_category" caption="Course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E19471-B390-4091-BCF4-AE655B5E05F0}" name="Raw_data" displayName="Raw_data" ref="A1:R151" totalsRowShown="0" headerRowDxfId="64" dataDxfId="63">
  <autoFilter ref="A1:R151" xr:uid="{93E19471-B390-4091-BCF4-AE655B5E05F0}"/>
  <sortState xmlns:xlrd2="http://schemas.microsoft.com/office/spreadsheetml/2017/richdata2" ref="A2:R151">
    <sortCondition ref="B2:B151"/>
  </sortState>
  <tableColumns count="18">
    <tableColumn id="1" xr3:uid="{4D0F4D2B-4998-4186-AD5A-EF8B6A30E6A2}" name="Student_ID" dataDxfId="62"/>
    <tableColumn id="2" xr3:uid="{EF41C3BA-7649-41BC-B1BC-AF7B0815B402}" name="Student_Name" dataDxfId="61"/>
    <tableColumn id="3" xr3:uid="{931C97E7-C8A1-453A-B356-B9EADA7DC719}" name="Age" dataDxfId="60"/>
    <tableColumn id="4" xr3:uid="{93714F0B-1C26-44D6-8C2D-C651A028192B}" name="Gender" dataDxfId="59"/>
    <tableColumn id="5" xr3:uid="{4F74BABE-F5FD-40E1-95E9-F3AFF3ADEEDA}" name="City" dataDxfId="58"/>
    <tableColumn id="6" xr3:uid="{B4D7E321-7D03-4FF3-B7C4-BD3EA0665F6C}" name="Course_Name" dataDxfId="57"/>
    <tableColumn id="7" xr3:uid="{EFC21ACE-E3D4-424F-B797-11EBD6974D86}" name="Course_Category" dataDxfId="56"/>
    <tableColumn id="8" xr3:uid="{1926C2E3-7DC9-4F3E-82F4-588E2B784DEA}" name="Enrollment_Date" dataDxfId="55"/>
    <tableColumn id="9" xr3:uid="{CF9ABD31-7765-4B3C-8725-E4E56093BC9E}" name="Last_Login_Date" dataDxfId="54"/>
    <tableColumn id="10" xr3:uid="{C011DAB5-B0ED-468D-8387-62C0DE2D22F9}" name="Course_Price" dataDxfId="53"/>
    <tableColumn id="11" xr3:uid="{BB5DCD2E-2D60-490D-8984-9B5FE66688D1}" name="Discount_Applied" dataDxfId="52"/>
    <tableColumn id="12" xr3:uid="{047EFA9B-EBE6-47B9-AEA3-E0E10BD2B008}" name="Amount_Paid" dataDxfId="51"/>
    <tableColumn id="13" xr3:uid="{C68157C5-7241-437F-A2D0-60921C9F2368}" name="Completion_Status" dataDxfId="50"/>
    <tableColumn id="14" xr3:uid="{E726BAAA-B75B-4BF8-B75B-32BBCBFACCB8}" name="Refund_Issued" dataDxfId="49"/>
    <tableColumn id="15" xr3:uid="{B0521B0F-19CA-4529-AB0C-BD0E110A1F92}" name="Engagement_Score" dataDxfId="48"/>
    <tableColumn id="16" xr3:uid="{14205AB9-FBCD-4EAB-9935-2E7E7AD1ECD0}" name="Videos_Watched" dataDxfId="47"/>
    <tableColumn id="17" xr3:uid="{9C395BFD-F877-45DB-959C-E8AD745308F0}" name="Assignments_Completed" dataDxfId="46"/>
    <tableColumn id="18" xr3:uid="{A0EBB6AE-30C7-45D0-A5B5-E0AEF37EBD1D}" name="Days_Inactive"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A0EBD7-B203-44F6-B586-548EDF6DEFAF}" name="Studentdata" displayName="Studentdata" ref="A1:T151" totalsRowShown="0">
  <autoFilter ref="A1:T151" xr:uid="{A5A0EBD7-B203-44F6-B586-548EDF6DEFAF}"/>
  <tableColumns count="20">
    <tableColumn id="1" xr3:uid="{288E4A67-FD78-49DD-8CD1-30B88C1B3D38}" name="Sr no"/>
    <tableColumn id="2" xr3:uid="{1E123AD7-D62B-4BE6-BFBE-67822A7DBC3B}" name="Student_id">
      <calculatedColumnFormula>Raw_data[[#This Row],[Student_ID]]</calculatedColumnFormula>
    </tableColumn>
    <tableColumn id="4" xr3:uid="{75EB3252-0D18-49E2-AC5F-0748A75407FE}" name="Student_name" dataDxfId="44">
      <calculatedColumnFormula>TRIM(PROPER(Raw_data[[#This Row],[Student_Name]]))</calculatedColumnFormula>
    </tableColumn>
    <tableColumn id="5" xr3:uid="{9F19F240-7097-43DB-B142-287C84613C5D}" name="Age" dataDxfId="43">
      <calculatedColumnFormula>Raw_data[[#This Row],[Age]]</calculatedColumnFormula>
    </tableColumn>
    <tableColumn id="6" xr3:uid="{3CB3002A-CC89-45F7-AED9-3E5F14A5972F}" name="Gender" dataDxfId="42">
      <calculatedColumnFormula>TRIM(PROPER(Raw_data[[#This Row],[Gender]]))</calculatedColumnFormula>
    </tableColumn>
    <tableColumn id="7" xr3:uid="{AD2327D5-9E50-4F2A-9B94-992B83E833E9}" name="City" dataDxfId="41">
      <calculatedColumnFormula>TRIM(PROPER(Raw_data[[#This Row],[City]]))</calculatedColumnFormula>
    </tableColumn>
    <tableColumn id="8" xr3:uid="{E8F5DDF0-E158-4452-B507-7969D96BC786}" name="Coursename" dataDxfId="40">
      <calculatedColumnFormula>TRIM(PROPER(Raw_data[[#This Row],[Course_Name]]))</calculatedColumnFormula>
    </tableColumn>
    <tableColumn id="9" xr3:uid="{C80AF7CC-BC8D-42B8-AD8C-9AD40CE9D391}" name="Course category" dataDxfId="39">
      <calculatedColumnFormula>TRIM(PROPER(Raw_data[[#This Row],[Course_Category]]))</calculatedColumnFormula>
    </tableColumn>
    <tableColumn id="10" xr3:uid="{76C37C2E-C702-4245-A262-7DF987F3BC9F}" name="Enrollment date" dataDxfId="38">
      <calculatedColumnFormula>Raw_data[[#This Row],[Enrollment_Date]]</calculatedColumnFormula>
    </tableColumn>
    <tableColumn id="11" xr3:uid="{FD6405CC-2254-4890-92A6-06ECFBCFD589}" name="Last login date" dataDxfId="37">
      <calculatedColumnFormula>Raw_data[[#This Row],[Last_Login_Date]]</calculatedColumnFormula>
    </tableColumn>
    <tableColumn id="12" xr3:uid="{152C6429-4B41-447D-B8C1-AF4D41ADEE55}" name="Course price" dataDxfId="36">
      <calculatedColumnFormula>Raw_data[[#This Row],[Course_Price]]</calculatedColumnFormula>
    </tableColumn>
    <tableColumn id="13" xr3:uid="{9264385D-8F99-4421-9BB6-C7E355D8B05B}" name="Discount applied" dataDxfId="35">
      <calculatedColumnFormula>Raw_data[[#This Row],[Discount_Applied]]</calculatedColumnFormula>
    </tableColumn>
    <tableColumn id="14" xr3:uid="{058909A5-7828-4364-A090-2B8D76833D9C}" name="Amount paid" dataDxfId="34">
      <calculatedColumnFormula>Raw_data[[#This Row],[Amount_Paid]]</calculatedColumnFormula>
    </tableColumn>
    <tableColumn id="17" xr3:uid="{9491D8B1-92D8-4A9F-AC1C-3C8172544343}" name="Completion status" dataDxfId="33">
      <calculatedColumnFormula>TRIM(PROPER(Raw_data[[#This Row],[Completion_Status]]))</calculatedColumnFormula>
    </tableColumn>
    <tableColumn id="15" xr3:uid="{19C65D65-984D-459E-9D49-376F229F0F18}" name="Refund issued" dataDxfId="32">
      <calculatedColumnFormula>TRIM(PROPER(Raw_data[[#This Row],[Refund_Issued]]))</calculatedColumnFormula>
    </tableColumn>
    <tableColumn id="16" xr3:uid="{54BDF47F-5E6D-43FB-A6B4-DEBB17270E44}" name="Engagement score" dataDxfId="31">
      <calculatedColumnFormula>Raw_data[[#This Row],[Engagement_Score]]</calculatedColumnFormula>
    </tableColumn>
    <tableColumn id="18" xr3:uid="{0C62DB2C-0878-4BC2-A64E-073221CC1F45}" name="Videos watched" dataDxfId="30">
      <calculatedColumnFormula>Raw_data[[#This Row],[Videos_Watched]]</calculatedColumnFormula>
    </tableColumn>
    <tableColumn id="19" xr3:uid="{DE493C2B-1E03-49D3-913D-A07E5C34974E}" name="Assignment completed" dataDxfId="29">
      <calculatedColumnFormula>TRIM(PROPER(Raw_data[[#This Row],[Assignments_Completed]]))</calculatedColumnFormula>
    </tableColumn>
    <tableColumn id="20" xr3:uid="{65DE9DD1-22FA-4A96-9F0E-D60E5035097F}" name="Days inactive" dataDxfId="28">
      <calculatedColumnFormula>Raw_data[[#This Row],[Days_Inactive]]</calculatedColumnFormula>
    </tableColumn>
    <tableColumn id="23" xr3:uid="{3D045886-B5FA-41B4-9C17-A5D243F0A59F}" name="Amount pending" dataDxfId="27">
      <calculatedColumnFormula>Studentdata[[#This Row],[Course price]]-Studentdata[[#This Row],[Amount paid]]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6926-D82D-4AEC-8CBC-FD7501EB5978}">
  <dimension ref="A1:R151"/>
  <sheetViews>
    <sheetView workbookViewId="0">
      <selection activeCell="M1" sqref="M1:M1048576"/>
    </sheetView>
  </sheetViews>
  <sheetFormatPr defaultRowHeight="14.4" x14ac:dyDescent="0.3"/>
  <cols>
    <col min="1" max="1" width="12.33203125" customWidth="1"/>
    <col min="2" max="2" width="18.21875" customWidth="1"/>
    <col min="3" max="3" width="6.44140625" customWidth="1"/>
    <col min="4" max="4" width="9.33203125" customWidth="1"/>
    <col min="5" max="5" width="11.5546875" customWidth="1"/>
    <col min="6" max="6" width="27" customWidth="1"/>
    <col min="7" max="7" width="17.6640625" customWidth="1"/>
    <col min="8" max="8" width="17.44140625" style="1" customWidth="1"/>
    <col min="9" max="9" width="16.6640625" style="1" customWidth="1"/>
    <col min="10" max="10" width="13.77734375" customWidth="1"/>
    <col min="11" max="11" width="17.6640625" customWidth="1"/>
    <col min="12" max="12" width="14.44140625" customWidth="1"/>
    <col min="13" max="13" width="18.88671875" customWidth="1"/>
    <col min="14" max="14" width="15.33203125" customWidth="1"/>
    <col min="15" max="15" width="19.109375" customWidth="1"/>
    <col min="16" max="16" width="17.109375" customWidth="1"/>
    <col min="17" max="17" width="23.6640625" customWidth="1"/>
    <col min="18" max="18" width="14.5546875" customWidth="1"/>
  </cols>
  <sheetData>
    <row r="1" spans="1:18" x14ac:dyDescent="0.3">
      <c r="A1" s="2" t="s">
        <v>0</v>
      </c>
      <c r="B1" s="2" t="s">
        <v>1</v>
      </c>
      <c r="C1" s="2" t="s">
        <v>2</v>
      </c>
      <c r="D1" s="2" t="s">
        <v>3</v>
      </c>
      <c r="E1" s="2" t="s">
        <v>4</v>
      </c>
      <c r="F1" s="2" t="s">
        <v>5</v>
      </c>
      <c r="G1" s="2" t="s">
        <v>6</v>
      </c>
      <c r="H1" s="3" t="s">
        <v>7</v>
      </c>
      <c r="I1" s="3" t="s">
        <v>8</v>
      </c>
      <c r="J1" s="2" t="s">
        <v>9</v>
      </c>
      <c r="K1" s="2" t="s">
        <v>10</v>
      </c>
      <c r="L1" s="2" t="s">
        <v>11</v>
      </c>
      <c r="M1" s="2" t="s">
        <v>12</v>
      </c>
      <c r="N1" s="2" t="s">
        <v>13</v>
      </c>
      <c r="O1" s="2" t="s">
        <v>14</v>
      </c>
      <c r="P1" s="2" t="s">
        <v>15</v>
      </c>
      <c r="Q1" s="2" t="s">
        <v>16</v>
      </c>
      <c r="R1" s="2" t="s">
        <v>17</v>
      </c>
    </row>
    <row r="2" spans="1:18" x14ac:dyDescent="0.3">
      <c r="A2" s="2" t="s">
        <v>85</v>
      </c>
      <c r="B2" s="2" t="s">
        <v>86</v>
      </c>
      <c r="C2" s="2">
        <v>21</v>
      </c>
      <c r="D2" s="2" t="s">
        <v>20</v>
      </c>
      <c r="E2" s="2" t="s">
        <v>87</v>
      </c>
      <c r="F2" s="2" t="s">
        <v>88</v>
      </c>
      <c r="G2" s="2" t="s">
        <v>37</v>
      </c>
      <c r="H2" s="3">
        <v>45347</v>
      </c>
      <c r="I2" s="3">
        <v>45423</v>
      </c>
      <c r="J2" s="2">
        <v>5000</v>
      </c>
      <c r="K2" s="2">
        <v>1000</v>
      </c>
      <c r="L2" s="2">
        <v>4000</v>
      </c>
      <c r="M2" s="2" t="s">
        <v>42</v>
      </c>
      <c r="N2" s="2" t="s">
        <v>71</v>
      </c>
      <c r="O2" s="2">
        <v>0</v>
      </c>
      <c r="P2" s="2">
        <v>36</v>
      </c>
      <c r="Q2" s="2" t="s">
        <v>48</v>
      </c>
      <c r="R2" s="2">
        <v>5</v>
      </c>
    </row>
    <row r="3" spans="1:18" x14ac:dyDescent="0.3">
      <c r="A3" s="2" t="s">
        <v>96</v>
      </c>
      <c r="B3" s="2" t="s">
        <v>98</v>
      </c>
      <c r="C3" s="2">
        <v>30</v>
      </c>
      <c r="D3" s="2" t="s">
        <v>62</v>
      </c>
      <c r="E3" s="2" t="s">
        <v>51</v>
      </c>
      <c r="F3" s="2" t="s">
        <v>66</v>
      </c>
      <c r="G3" s="2" t="s">
        <v>37</v>
      </c>
      <c r="H3" s="3">
        <v>45404</v>
      </c>
      <c r="I3" s="3">
        <v>44978</v>
      </c>
      <c r="J3" s="2">
        <v>3000</v>
      </c>
      <c r="K3" s="2">
        <v>0</v>
      </c>
      <c r="L3" s="2">
        <v>3000</v>
      </c>
      <c r="M3" s="2" t="s">
        <v>24</v>
      </c>
      <c r="N3" s="2" t="s">
        <v>25</v>
      </c>
      <c r="O3" s="2">
        <v>0</v>
      </c>
      <c r="P3" s="2">
        <v>42</v>
      </c>
      <c r="Q3" s="2" t="s">
        <v>48</v>
      </c>
      <c r="R3" s="2">
        <v>0</v>
      </c>
    </row>
    <row r="4" spans="1:18" x14ac:dyDescent="0.3">
      <c r="A4" s="2" t="s">
        <v>18</v>
      </c>
      <c r="B4" s="2" t="s">
        <v>102</v>
      </c>
      <c r="C4" s="2">
        <v>18</v>
      </c>
      <c r="D4" s="2" t="s">
        <v>50</v>
      </c>
      <c r="E4" s="2" t="s">
        <v>21</v>
      </c>
      <c r="F4" s="2" t="s">
        <v>22</v>
      </c>
      <c r="G4" s="2" t="s">
        <v>23</v>
      </c>
      <c r="H4" s="3">
        <v>45638</v>
      </c>
      <c r="I4" s="3">
        <v>45732</v>
      </c>
      <c r="J4" s="2">
        <v>7000</v>
      </c>
      <c r="K4" s="2">
        <v>500</v>
      </c>
      <c r="L4" s="2">
        <v>6500</v>
      </c>
      <c r="M4" s="2" t="s">
        <v>24</v>
      </c>
      <c r="N4" s="2" t="s">
        <v>25</v>
      </c>
      <c r="O4" s="2">
        <v>2</v>
      </c>
      <c r="P4" s="2">
        <v>32</v>
      </c>
      <c r="Q4" s="2" t="s">
        <v>48</v>
      </c>
      <c r="R4" s="2">
        <v>1</v>
      </c>
    </row>
    <row r="5" spans="1:18" x14ac:dyDescent="0.3">
      <c r="A5" s="2" t="s">
        <v>237</v>
      </c>
      <c r="B5" s="2" t="s">
        <v>367</v>
      </c>
      <c r="C5" s="2">
        <v>33</v>
      </c>
      <c r="D5" s="2" t="s">
        <v>90</v>
      </c>
      <c r="E5" s="2" t="s">
        <v>35</v>
      </c>
      <c r="F5" s="2" t="s">
        <v>46</v>
      </c>
      <c r="G5" s="2" t="s">
        <v>47</v>
      </c>
      <c r="H5" s="3">
        <v>45536</v>
      </c>
      <c r="I5" s="3">
        <v>44986</v>
      </c>
      <c r="J5" s="2">
        <v>6000</v>
      </c>
      <c r="K5" s="2">
        <v>0</v>
      </c>
      <c r="L5" s="2">
        <v>6000</v>
      </c>
      <c r="M5" s="2" t="s">
        <v>42</v>
      </c>
      <c r="N5" s="2" t="s">
        <v>48</v>
      </c>
      <c r="O5" s="2">
        <v>3</v>
      </c>
      <c r="P5" s="2">
        <v>17</v>
      </c>
      <c r="Q5" s="2" t="s">
        <v>25</v>
      </c>
      <c r="R5" s="2">
        <v>0</v>
      </c>
    </row>
    <row r="6" spans="1:18" x14ac:dyDescent="0.3">
      <c r="A6" s="2" t="s">
        <v>165</v>
      </c>
      <c r="B6" s="2" t="s">
        <v>297</v>
      </c>
      <c r="C6" s="2">
        <v>28</v>
      </c>
      <c r="D6" s="2" t="s">
        <v>34</v>
      </c>
      <c r="E6" s="2" t="s">
        <v>41</v>
      </c>
      <c r="F6" s="2" t="s">
        <v>66</v>
      </c>
      <c r="G6" s="2" t="s">
        <v>37</v>
      </c>
      <c r="H6" s="3">
        <v>45358</v>
      </c>
      <c r="I6" s="3">
        <v>45434</v>
      </c>
      <c r="J6" s="2">
        <v>5000</v>
      </c>
      <c r="K6" s="2">
        <v>0</v>
      </c>
      <c r="L6" s="2">
        <v>5000</v>
      </c>
      <c r="M6" s="2" t="s">
        <v>42</v>
      </c>
      <c r="N6" s="2" t="s">
        <v>38</v>
      </c>
      <c r="O6" s="2">
        <v>3</v>
      </c>
      <c r="P6" s="2">
        <v>44</v>
      </c>
      <c r="Q6" s="2" t="s">
        <v>48</v>
      </c>
      <c r="R6" s="2">
        <v>82</v>
      </c>
    </row>
    <row r="7" spans="1:18" x14ac:dyDescent="0.3">
      <c r="A7" s="2" t="s">
        <v>161</v>
      </c>
      <c r="B7" s="2" t="s">
        <v>293</v>
      </c>
      <c r="C7" s="2">
        <v>22</v>
      </c>
      <c r="D7" s="2" t="s">
        <v>90</v>
      </c>
      <c r="E7" s="2" t="s">
        <v>29</v>
      </c>
      <c r="F7" s="2" t="s">
        <v>30</v>
      </c>
      <c r="G7" s="2" t="s">
        <v>23</v>
      </c>
      <c r="H7" s="3">
        <v>45600</v>
      </c>
      <c r="I7" s="3">
        <v>45619</v>
      </c>
      <c r="J7" s="2">
        <v>4000</v>
      </c>
      <c r="K7" s="2">
        <v>500</v>
      </c>
      <c r="L7" s="2">
        <v>3500</v>
      </c>
      <c r="M7" s="2" t="s">
        <v>42</v>
      </c>
      <c r="N7" s="2" t="s">
        <v>71</v>
      </c>
      <c r="O7" s="2">
        <v>8</v>
      </c>
      <c r="P7" s="2">
        <v>36</v>
      </c>
      <c r="Q7" s="2" t="s">
        <v>48</v>
      </c>
      <c r="R7" s="2">
        <v>0</v>
      </c>
    </row>
    <row r="8" spans="1:18" x14ac:dyDescent="0.3">
      <c r="A8" s="2" t="s">
        <v>197</v>
      </c>
      <c r="B8" s="2" t="s">
        <v>327</v>
      </c>
      <c r="C8" s="2">
        <v>28</v>
      </c>
      <c r="D8" s="2" t="s">
        <v>90</v>
      </c>
      <c r="E8" s="2" t="s">
        <v>51</v>
      </c>
      <c r="F8" s="2" t="s">
        <v>95</v>
      </c>
      <c r="G8" s="2" t="s">
        <v>37</v>
      </c>
      <c r="H8" s="3">
        <v>45565</v>
      </c>
      <c r="I8" s="3">
        <v>45689</v>
      </c>
      <c r="J8" s="2">
        <v>4000</v>
      </c>
      <c r="K8" s="2">
        <v>500</v>
      </c>
      <c r="L8" s="2">
        <v>3500</v>
      </c>
      <c r="M8" s="2" t="s">
        <v>42</v>
      </c>
      <c r="N8" s="2" t="s">
        <v>48</v>
      </c>
      <c r="O8" s="2">
        <v>0</v>
      </c>
      <c r="P8" s="2">
        <v>11</v>
      </c>
      <c r="Q8" s="2" t="s">
        <v>31</v>
      </c>
      <c r="R8" s="2">
        <v>56</v>
      </c>
    </row>
    <row r="9" spans="1:18" x14ac:dyDescent="0.3">
      <c r="A9" s="2" t="s">
        <v>32</v>
      </c>
      <c r="B9" s="2" t="s">
        <v>156</v>
      </c>
      <c r="C9" s="2">
        <v>19</v>
      </c>
      <c r="D9" s="2" t="s">
        <v>90</v>
      </c>
      <c r="E9" s="2" t="s">
        <v>35</v>
      </c>
      <c r="F9" s="2" t="s">
        <v>36</v>
      </c>
      <c r="G9" s="2" t="s">
        <v>37</v>
      </c>
      <c r="H9" s="3">
        <v>45613</v>
      </c>
      <c r="I9" s="3">
        <v>45692</v>
      </c>
      <c r="J9" s="2">
        <v>5000</v>
      </c>
      <c r="K9" s="2">
        <v>0</v>
      </c>
      <c r="L9" s="2">
        <v>5000</v>
      </c>
      <c r="M9" s="2" t="s">
        <v>24</v>
      </c>
      <c r="N9" s="2" t="s">
        <v>38</v>
      </c>
      <c r="O9" s="2">
        <v>4</v>
      </c>
      <c r="P9" s="2">
        <v>14</v>
      </c>
      <c r="Q9" s="2" t="s">
        <v>25</v>
      </c>
      <c r="R9" s="2">
        <v>0</v>
      </c>
    </row>
    <row r="10" spans="1:18" x14ac:dyDescent="0.3">
      <c r="A10" s="2" t="s">
        <v>243</v>
      </c>
      <c r="B10" s="2" t="s">
        <v>373</v>
      </c>
      <c r="C10" s="2">
        <v>26</v>
      </c>
      <c r="D10" s="2" t="s">
        <v>90</v>
      </c>
      <c r="E10" s="2" t="s">
        <v>83</v>
      </c>
      <c r="F10" s="2" t="s">
        <v>36</v>
      </c>
      <c r="G10" s="2" t="s">
        <v>37</v>
      </c>
      <c r="H10" s="3">
        <v>45613</v>
      </c>
      <c r="I10" s="3">
        <v>44986</v>
      </c>
      <c r="J10" s="2">
        <v>6000</v>
      </c>
      <c r="K10" s="2">
        <v>500</v>
      </c>
      <c r="L10" s="2">
        <v>5500</v>
      </c>
      <c r="M10" s="2" t="s">
        <v>24</v>
      </c>
      <c r="N10" s="2" t="s">
        <v>38</v>
      </c>
      <c r="O10" s="2">
        <v>9</v>
      </c>
      <c r="P10" s="2">
        <v>9</v>
      </c>
      <c r="Q10" s="2" t="s">
        <v>31</v>
      </c>
      <c r="R10" s="2">
        <v>5</v>
      </c>
    </row>
    <row r="11" spans="1:18" x14ac:dyDescent="0.3">
      <c r="A11" s="2" t="s">
        <v>154</v>
      </c>
      <c r="B11" s="2" t="s">
        <v>288</v>
      </c>
      <c r="C11" s="2">
        <v>20</v>
      </c>
      <c r="D11" s="2" t="s">
        <v>50</v>
      </c>
      <c r="E11" s="2" t="s">
        <v>93</v>
      </c>
      <c r="F11" s="2" t="s">
        <v>66</v>
      </c>
      <c r="G11" s="2" t="s">
        <v>37</v>
      </c>
      <c r="H11" s="3">
        <v>45506</v>
      </c>
      <c r="I11" s="3">
        <v>45564</v>
      </c>
      <c r="J11" s="2">
        <v>5000</v>
      </c>
      <c r="K11" s="2">
        <v>1000</v>
      </c>
      <c r="L11" s="2">
        <v>4000</v>
      </c>
      <c r="M11" s="2" t="s">
        <v>42</v>
      </c>
      <c r="N11" s="2" t="s">
        <v>31</v>
      </c>
      <c r="O11" s="2">
        <v>10</v>
      </c>
      <c r="P11" s="2">
        <v>3</v>
      </c>
      <c r="Q11" s="2" t="s">
        <v>48</v>
      </c>
      <c r="R11" s="2">
        <v>10</v>
      </c>
    </row>
    <row r="12" spans="1:18" x14ac:dyDescent="0.3">
      <c r="A12" s="2" t="s">
        <v>182</v>
      </c>
      <c r="B12" s="2" t="s">
        <v>312</v>
      </c>
      <c r="C12" s="2">
        <v>29</v>
      </c>
      <c r="D12" s="2" t="s">
        <v>50</v>
      </c>
      <c r="E12" s="2" t="s">
        <v>158</v>
      </c>
      <c r="F12" s="2" t="s">
        <v>95</v>
      </c>
      <c r="G12" s="2" t="s">
        <v>37</v>
      </c>
      <c r="H12" s="3">
        <v>45544</v>
      </c>
      <c r="I12" s="3">
        <v>45547</v>
      </c>
      <c r="J12" s="2">
        <v>6000</v>
      </c>
      <c r="K12" s="2">
        <v>0</v>
      </c>
      <c r="L12" s="2">
        <v>6000</v>
      </c>
      <c r="M12" s="2" t="s">
        <v>24</v>
      </c>
      <c r="N12" s="2" t="s">
        <v>71</v>
      </c>
      <c r="O12" s="2">
        <v>0</v>
      </c>
      <c r="P12" s="2">
        <v>25</v>
      </c>
      <c r="Q12" s="2" t="s">
        <v>52</v>
      </c>
      <c r="R12" s="2">
        <v>0</v>
      </c>
    </row>
    <row r="13" spans="1:18" x14ac:dyDescent="0.3">
      <c r="A13" s="2" t="s">
        <v>168</v>
      </c>
      <c r="B13" s="2" t="s">
        <v>300</v>
      </c>
      <c r="C13" s="2">
        <v>32</v>
      </c>
      <c r="D13" s="2" t="s">
        <v>34</v>
      </c>
      <c r="E13" s="2" t="s">
        <v>70</v>
      </c>
      <c r="F13" s="2" t="s">
        <v>66</v>
      </c>
      <c r="G13" s="2" t="s">
        <v>37</v>
      </c>
      <c r="H13" s="3">
        <v>45374</v>
      </c>
      <c r="I13" s="3">
        <v>45478</v>
      </c>
      <c r="J13" s="2">
        <v>6000</v>
      </c>
      <c r="K13" s="2">
        <v>1000</v>
      </c>
      <c r="L13" s="2">
        <v>5000</v>
      </c>
      <c r="M13" s="2" t="s">
        <v>24</v>
      </c>
      <c r="N13" s="2" t="s">
        <v>38</v>
      </c>
      <c r="O13" s="2">
        <v>6</v>
      </c>
      <c r="P13" s="2">
        <v>6</v>
      </c>
      <c r="Q13" s="2" t="s">
        <v>48</v>
      </c>
      <c r="R13" s="2">
        <v>0</v>
      </c>
    </row>
    <row r="14" spans="1:18" x14ac:dyDescent="0.3">
      <c r="A14" s="2" t="s">
        <v>123</v>
      </c>
      <c r="B14" s="2" t="s">
        <v>265</v>
      </c>
      <c r="C14" s="2">
        <v>32</v>
      </c>
      <c r="D14" s="2" t="s">
        <v>90</v>
      </c>
      <c r="E14" s="2" t="s">
        <v>87</v>
      </c>
      <c r="F14" s="2" t="s">
        <v>46</v>
      </c>
      <c r="G14" s="2" t="s">
        <v>47</v>
      </c>
      <c r="H14" s="3">
        <v>45338</v>
      </c>
      <c r="I14" s="3">
        <v>44986</v>
      </c>
      <c r="J14" s="2">
        <v>5000</v>
      </c>
      <c r="K14" s="2">
        <v>1000</v>
      </c>
      <c r="L14" s="2">
        <v>4000</v>
      </c>
      <c r="M14" s="2" t="s">
        <v>42</v>
      </c>
      <c r="N14" s="2" t="s">
        <v>25</v>
      </c>
      <c r="O14" s="2">
        <v>0</v>
      </c>
      <c r="P14" s="2">
        <v>44</v>
      </c>
      <c r="Q14" s="2" t="s">
        <v>52</v>
      </c>
      <c r="R14" s="2">
        <v>0</v>
      </c>
    </row>
    <row r="15" spans="1:18" x14ac:dyDescent="0.3">
      <c r="A15" s="2" t="s">
        <v>89</v>
      </c>
      <c r="B15" s="2" t="s">
        <v>40</v>
      </c>
      <c r="C15" s="2">
        <v>18</v>
      </c>
      <c r="D15" s="2" t="s">
        <v>34</v>
      </c>
      <c r="E15" s="2" t="s">
        <v>91</v>
      </c>
      <c r="F15" s="2" t="s">
        <v>78</v>
      </c>
      <c r="G15" s="2" t="s">
        <v>79</v>
      </c>
      <c r="H15" s="3">
        <v>45611</v>
      </c>
      <c r="I15" s="3">
        <v>45651</v>
      </c>
      <c r="J15" s="2">
        <v>5000</v>
      </c>
      <c r="K15" s="2">
        <v>1000</v>
      </c>
      <c r="L15" s="2">
        <v>4000</v>
      </c>
      <c r="M15" s="2" t="s">
        <v>42</v>
      </c>
      <c r="N15" s="2" t="s">
        <v>31</v>
      </c>
      <c r="O15" s="2">
        <v>0</v>
      </c>
      <c r="P15" s="2">
        <v>44</v>
      </c>
      <c r="Q15" s="2" t="s">
        <v>31</v>
      </c>
      <c r="R15" s="2">
        <v>35</v>
      </c>
    </row>
    <row r="16" spans="1:18" x14ac:dyDescent="0.3">
      <c r="A16" s="2" t="s">
        <v>97</v>
      </c>
      <c r="B16" s="2" t="s">
        <v>64</v>
      </c>
      <c r="C16" s="2">
        <v>31</v>
      </c>
      <c r="D16" s="2" t="s">
        <v>20</v>
      </c>
      <c r="E16" s="2" t="s">
        <v>99</v>
      </c>
      <c r="F16" s="2" t="s">
        <v>36</v>
      </c>
      <c r="G16" s="2" t="s">
        <v>37</v>
      </c>
      <c r="H16" s="3">
        <v>45418</v>
      </c>
      <c r="I16" s="3">
        <v>45525</v>
      </c>
      <c r="J16" s="2">
        <v>6000</v>
      </c>
      <c r="K16" s="2">
        <v>0</v>
      </c>
      <c r="L16" s="2">
        <v>6000</v>
      </c>
      <c r="M16" s="2" t="s">
        <v>42</v>
      </c>
      <c r="N16" s="2" t="s">
        <v>38</v>
      </c>
      <c r="O16" s="2">
        <v>0</v>
      </c>
      <c r="P16" s="2">
        <v>4</v>
      </c>
      <c r="Q16" s="2" t="s">
        <v>31</v>
      </c>
      <c r="R16" s="2">
        <v>0</v>
      </c>
    </row>
    <row r="17" spans="1:18" x14ac:dyDescent="0.3">
      <c r="A17" s="2" t="s">
        <v>188</v>
      </c>
      <c r="B17" s="2" t="s">
        <v>318</v>
      </c>
      <c r="C17" s="2">
        <v>27</v>
      </c>
      <c r="D17" s="2" t="s">
        <v>34</v>
      </c>
      <c r="E17" s="2" t="s">
        <v>83</v>
      </c>
      <c r="F17" s="2" t="s">
        <v>46</v>
      </c>
      <c r="G17" s="2" t="s">
        <v>47</v>
      </c>
      <c r="H17" s="3">
        <v>45415</v>
      </c>
      <c r="I17" s="3">
        <v>45442</v>
      </c>
      <c r="J17" s="2">
        <v>3000</v>
      </c>
      <c r="K17" s="2">
        <v>0</v>
      </c>
      <c r="L17" s="2">
        <v>3000</v>
      </c>
      <c r="M17" s="2" t="s">
        <v>24</v>
      </c>
      <c r="N17" s="2" t="s">
        <v>52</v>
      </c>
      <c r="O17" s="2">
        <v>0</v>
      </c>
      <c r="P17" s="2">
        <v>34</v>
      </c>
      <c r="Q17" s="2" t="s">
        <v>25</v>
      </c>
      <c r="R17" s="2">
        <v>0</v>
      </c>
    </row>
    <row r="18" spans="1:18" x14ac:dyDescent="0.3">
      <c r="A18" s="2" t="s">
        <v>133</v>
      </c>
      <c r="B18" s="2" t="s">
        <v>272</v>
      </c>
      <c r="C18" s="2">
        <v>25</v>
      </c>
      <c r="D18" s="2" t="s">
        <v>90</v>
      </c>
      <c r="E18" s="2" t="s">
        <v>57</v>
      </c>
      <c r="F18" s="2" t="s">
        <v>22</v>
      </c>
      <c r="G18" s="2" t="s">
        <v>23</v>
      </c>
      <c r="H18" s="3">
        <v>45616</v>
      </c>
      <c r="I18" s="3">
        <v>44986</v>
      </c>
      <c r="J18" s="2">
        <v>4000</v>
      </c>
      <c r="K18" s="2">
        <v>1000</v>
      </c>
      <c r="L18" s="2">
        <v>3000</v>
      </c>
      <c r="M18" s="2" t="s">
        <v>24</v>
      </c>
      <c r="N18" s="2" t="s">
        <v>25</v>
      </c>
      <c r="O18" s="2">
        <v>0</v>
      </c>
      <c r="P18" s="2">
        <v>22</v>
      </c>
      <c r="Q18" s="2" t="s">
        <v>31</v>
      </c>
      <c r="R18" s="2">
        <v>27</v>
      </c>
    </row>
    <row r="19" spans="1:18" x14ac:dyDescent="0.3">
      <c r="A19" s="2" t="s">
        <v>211</v>
      </c>
      <c r="B19" s="2" t="s">
        <v>341</v>
      </c>
      <c r="C19" s="2">
        <v>28</v>
      </c>
      <c r="D19" s="2" t="s">
        <v>34</v>
      </c>
      <c r="E19" s="2" t="s">
        <v>59</v>
      </c>
      <c r="F19" s="2" t="s">
        <v>30</v>
      </c>
      <c r="G19" s="2" t="s">
        <v>23</v>
      </c>
      <c r="H19" s="3">
        <v>45300</v>
      </c>
      <c r="I19" s="3">
        <v>44986</v>
      </c>
      <c r="J19" s="2">
        <v>5000</v>
      </c>
      <c r="K19" s="2">
        <v>500</v>
      </c>
      <c r="L19" s="2">
        <v>4500</v>
      </c>
      <c r="M19" s="2" t="s">
        <v>24</v>
      </c>
      <c r="N19" s="2" t="s">
        <v>31</v>
      </c>
      <c r="O19" s="2">
        <v>7</v>
      </c>
      <c r="P19" s="2">
        <v>15</v>
      </c>
      <c r="Q19" s="2" t="s">
        <v>52</v>
      </c>
      <c r="R19" s="2">
        <v>83</v>
      </c>
    </row>
    <row r="20" spans="1:18" x14ac:dyDescent="0.3">
      <c r="A20" s="2" t="s">
        <v>229</v>
      </c>
      <c r="B20" s="2" t="s">
        <v>359</v>
      </c>
      <c r="C20" s="2">
        <v>29</v>
      </c>
      <c r="D20" s="2" t="s">
        <v>90</v>
      </c>
      <c r="E20" s="2" t="s">
        <v>57</v>
      </c>
      <c r="F20" s="2" t="s">
        <v>46</v>
      </c>
      <c r="G20" s="2" t="s">
        <v>47</v>
      </c>
      <c r="H20" s="3">
        <v>45562</v>
      </c>
      <c r="I20" s="3">
        <v>44986</v>
      </c>
      <c r="J20" s="2">
        <v>7000</v>
      </c>
      <c r="K20" s="2">
        <v>500</v>
      </c>
      <c r="L20" s="2">
        <v>6500</v>
      </c>
      <c r="M20" s="2" t="s">
        <v>42</v>
      </c>
      <c r="N20" s="2" t="s">
        <v>25</v>
      </c>
      <c r="O20" s="2">
        <v>0</v>
      </c>
      <c r="P20" s="2">
        <v>39</v>
      </c>
      <c r="Q20" s="2" t="s">
        <v>48</v>
      </c>
      <c r="R20" s="2">
        <v>86</v>
      </c>
    </row>
    <row r="21" spans="1:18" x14ac:dyDescent="0.3">
      <c r="A21" s="2" t="s">
        <v>43</v>
      </c>
      <c r="B21" s="2" t="s">
        <v>104</v>
      </c>
      <c r="C21" s="2">
        <v>26</v>
      </c>
      <c r="D21" s="2" t="s">
        <v>28</v>
      </c>
      <c r="E21" s="2" t="s">
        <v>45</v>
      </c>
      <c r="F21" s="2" t="s">
        <v>46</v>
      </c>
      <c r="G21" s="2" t="s">
        <v>47</v>
      </c>
      <c r="H21" s="3">
        <v>45494</v>
      </c>
      <c r="I21" s="3">
        <v>44986</v>
      </c>
      <c r="J21" s="2">
        <v>4000</v>
      </c>
      <c r="K21" s="2">
        <v>1000</v>
      </c>
      <c r="L21" s="2">
        <v>3000</v>
      </c>
      <c r="M21" s="2" t="s">
        <v>24</v>
      </c>
      <c r="N21" s="2" t="s">
        <v>48</v>
      </c>
      <c r="O21" s="2">
        <v>0</v>
      </c>
      <c r="P21" s="2">
        <v>47</v>
      </c>
      <c r="Q21" s="2" t="s">
        <v>48</v>
      </c>
      <c r="R21" s="2">
        <v>0</v>
      </c>
    </row>
    <row r="22" spans="1:18" x14ac:dyDescent="0.3">
      <c r="A22" s="2" t="s">
        <v>233</v>
      </c>
      <c r="B22" s="2" t="s">
        <v>363</v>
      </c>
      <c r="C22" s="2">
        <v>29</v>
      </c>
      <c r="D22" s="2" t="s">
        <v>90</v>
      </c>
      <c r="E22" s="2" t="s">
        <v>178</v>
      </c>
      <c r="F22" s="2" t="s">
        <v>95</v>
      </c>
      <c r="G22" s="2" t="s">
        <v>37</v>
      </c>
      <c r="H22" s="3">
        <v>45509</v>
      </c>
      <c r="I22" s="3">
        <v>45522</v>
      </c>
      <c r="J22" s="2">
        <v>5000</v>
      </c>
      <c r="K22" s="2">
        <v>0</v>
      </c>
      <c r="L22" s="2">
        <v>5000</v>
      </c>
      <c r="M22" s="2" t="s">
        <v>42</v>
      </c>
      <c r="N22" s="2" t="s">
        <v>31</v>
      </c>
      <c r="O22" s="2">
        <v>0</v>
      </c>
      <c r="P22" s="2">
        <v>7</v>
      </c>
      <c r="Q22" s="2" t="s">
        <v>48</v>
      </c>
      <c r="R22" s="2">
        <v>75</v>
      </c>
    </row>
    <row r="23" spans="1:18" x14ac:dyDescent="0.3">
      <c r="A23" s="2" t="s">
        <v>74</v>
      </c>
      <c r="B23" s="2" t="s">
        <v>248</v>
      </c>
      <c r="C23" s="2">
        <v>28</v>
      </c>
      <c r="D23" s="2" t="s">
        <v>90</v>
      </c>
      <c r="E23" s="2" t="s">
        <v>45</v>
      </c>
      <c r="F23" s="2" t="s">
        <v>36</v>
      </c>
      <c r="G23" s="2" t="s">
        <v>37</v>
      </c>
      <c r="H23" s="3">
        <v>45494</v>
      </c>
      <c r="I23" s="3">
        <v>45510</v>
      </c>
      <c r="J23" s="2">
        <v>6000</v>
      </c>
      <c r="K23" s="2">
        <v>1000</v>
      </c>
      <c r="L23" s="2">
        <v>5000</v>
      </c>
      <c r="M23" s="2" t="s">
        <v>42</v>
      </c>
      <c r="N23" s="2" t="s">
        <v>25</v>
      </c>
      <c r="O23" s="2">
        <v>8</v>
      </c>
      <c r="P23" s="2">
        <v>36</v>
      </c>
      <c r="Q23" s="2" t="s">
        <v>25</v>
      </c>
      <c r="R23" s="2">
        <v>4</v>
      </c>
    </row>
    <row r="24" spans="1:18" x14ac:dyDescent="0.3">
      <c r="A24" s="2" t="s">
        <v>218</v>
      </c>
      <c r="B24" s="2" t="s">
        <v>348</v>
      </c>
      <c r="C24" s="2">
        <v>25</v>
      </c>
      <c r="D24" s="2" t="s">
        <v>28</v>
      </c>
      <c r="E24" s="2" t="s">
        <v>65</v>
      </c>
      <c r="F24" s="2" t="s">
        <v>30</v>
      </c>
      <c r="G24" s="2" t="s">
        <v>23</v>
      </c>
      <c r="H24" s="3">
        <v>45640</v>
      </c>
      <c r="I24" s="3">
        <v>44986</v>
      </c>
      <c r="J24" s="2">
        <v>3000</v>
      </c>
      <c r="K24" s="2">
        <v>0</v>
      </c>
      <c r="L24" s="2">
        <v>3000</v>
      </c>
      <c r="M24" s="2" t="s">
        <v>24</v>
      </c>
      <c r="N24" s="2" t="s">
        <v>48</v>
      </c>
      <c r="O24" s="2">
        <v>0</v>
      </c>
      <c r="P24" s="2">
        <v>9</v>
      </c>
      <c r="Q24" s="2" t="s">
        <v>52</v>
      </c>
      <c r="R24" s="2">
        <v>45</v>
      </c>
    </row>
    <row r="25" spans="1:18" x14ac:dyDescent="0.3">
      <c r="A25" s="2" t="s">
        <v>63</v>
      </c>
      <c r="B25" s="2" t="s">
        <v>244</v>
      </c>
      <c r="C25" s="2">
        <v>31</v>
      </c>
      <c r="D25" s="2" t="s">
        <v>50</v>
      </c>
      <c r="E25" s="2" t="s">
        <v>65</v>
      </c>
      <c r="F25" s="2" t="s">
        <v>66</v>
      </c>
      <c r="G25" s="2" t="s">
        <v>37</v>
      </c>
      <c r="H25" s="3">
        <v>45502</v>
      </c>
      <c r="I25" s="3">
        <v>45561</v>
      </c>
      <c r="J25" s="2">
        <v>5000</v>
      </c>
      <c r="K25" s="2">
        <v>0</v>
      </c>
      <c r="L25" s="2">
        <v>5000</v>
      </c>
      <c r="M25" s="2" t="s">
        <v>24</v>
      </c>
      <c r="N25" s="2" t="s">
        <v>52</v>
      </c>
      <c r="O25" s="2">
        <v>6</v>
      </c>
      <c r="P25" s="2">
        <v>12</v>
      </c>
      <c r="Q25" s="2" t="s">
        <v>48</v>
      </c>
      <c r="R25" s="2">
        <v>34</v>
      </c>
    </row>
    <row r="26" spans="1:18" x14ac:dyDescent="0.3">
      <c r="A26" s="2" t="s">
        <v>226</v>
      </c>
      <c r="B26" s="2" t="s">
        <v>356</v>
      </c>
      <c r="C26" s="2">
        <v>32</v>
      </c>
      <c r="D26" s="2" t="s">
        <v>90</v>
      </c>
      <c r="E26" s="2" t="s">
        <v>130</v>
      </c>
      <c r="F26" s="2" t="s">
        <v>22</v>
      </c>
      <c r="G26" s="2" t="s">
        <v>23</v>
      </c>
      <c r="H26" s="3">
        <v>45443</v>
      </c>
      <c r="I26" s="3">
        <v>45496</v>
      </c>
      <c r="J26" s="2">
        <v>6000</v>
      </c>
      <c r="K26" s="2">
        <v>500</v>
      </c>
      <c r="L26" s="2">
        <v>5500</v>
      </c>
      <c r="M26" s="2" t="s">
        <v>24</v>
      </c>
      <c r="N26" s="2" t="s">
        <v>31</v>
      </c>
      <c r="O26" s="2">
        <v>6</v>
      </c>
      <c r="P26" s="2">
        <v>33</v>
      </c>
      <c r="Q26" s="2" t="s">
        <v>52</v>
      </c>
      <c r="R26" s="2">
        <v>22</v>
      </c>
    </row>
    <row r="27" spans="1:18" x14ac:dyDescent="0.3">
      <c r="A27" s="2" t="s">
        <v>195</v>
      </c>
      <c r="B27" s="2" t="s">
        <v>325</v>
      </c>
      <c r="C27" s="2">
        <v>30</v>
      </c>
      <c r="D27" s="2" t="s">
        <v>90</v>
      </c>
      <c r="E27" s="2" t="s">
        <v>29</v>
      </c>
      <c r="F27" s="2" t="s">
        <v>36</v>
      </c>
      <c r="G27" s="2" t="s">
        <v>37</v>
      </c>
      <c r="H27" s="3">
        <v>45657</v>
      </c>
      <c r="I27" s="3">
        <v>44986</v>
      </c>
      <c r="J27" s="2">
        <v>5000</v>
      </c>
      <c r="K27" s="2">
        <v>1000</v>
      </c>
      <c r="L27" s="2">
        <v>4000</v>
      </c>
      <c r="M27" s="2" t="s">
        <v>42</v>
      </c>
      <c r="N27" s="2" t="s">
        <v>52</v>
      </c>
      <c r="O27" s="2">
        <v>4</v>
      </c>
      <c r="P27" s="2">
        <v>17</v>
      </c>
      <c r="Q27" s="2" t="s">
        <v>48</v>
      </c>
      <c r="R27" s="2">
        <v>44</v>
      </c>
    </row>
    <row r="28" spans="1:18" x14ac:dyDescent="0.3">
      <c r="A28" s="2" t="s">
        <v>206</v>
      </c>
      <c r="B28" s="2" t="s">
        <v>336</v>
      </c>
      <c r="C28" s="2">
        <v>19</v>
      </c>
      <c r="D28" s="2" t="s">
        <v>34</v>
      </c>
      <c r="E28" s="2" t="s">
        <v>59</v>
      </c>
      <c r="F28" s="2" t="s">
        <v>95</v>
      </c>
      <c r="G28" s="2" t="s">
        <v>37</v>
      </c>
      <c r="H28" s="3">
        <v>45320</v>
      </c>
      <c r="I28" s="3">
        <v>45337</v>
      </c>
      <c r="J28" s="2">
        <v>4000</v>
      </c>
      <c r="K28" s="2">
        <v>0</v>
      </c>
      <c r="L28" s="2">
        <v>4000</v>
      </c>
      <c r="M28" s="2" t="s">
        <v>24</v>
      </c>
      <c r="N28" s="2" t="s">
        <v>71</v>
      </c>
      <c r="O28" s="2">
        <v>10</v>
      </c>
      <c r="P28" s="2">
        <v>19</v>
      </c>
      <c r="Q28" s="2" t="s">
        <v>48</v>
      </c>
      <c r="R28" s="2">
        <v>42</v>
      </c>
    </row>
    <row r="29" spans="1:18" x14ac:dyDescent="0.3">
      <c r="A29" s="2" t="s">
        <v>166</v>
      </c>
      <c r="B29" s="2" t="s">
        <v>298</v>
      </c>
      <c r="C29" s="2">
        <v>34</v>
      </c>
      <c r="D29" s="2" t="s">
        <v>90</v>
      </c>
      <c r="E29" s="2" t="s">
        <v>29</v>
      </c>
      <c r="F29" s="2" t="s">
        <v>95</v>
      </c>
      <c r="G29" s="2" t="s">
        <v>37</v>
      </c>
      <c r="H29" s="3">
        <v>45466</v>
      </c>
      <c r="I29" s="3">
        <v>45564</v>
      </c>
      <c r="J29" s="2">
        <v>4000</v>
      </c>
      <c r="K29" s="2">
        <v>500</v>
      </c>
      <c r="L29" s="2">
        <v>3500</v>
      </c>
      <c r="M29" s="2" t="s">
        <v>24</v>
      </c>
      <c r="N29" s="2" t="s">
        <v>25</v>
      </c>
      <c r="O29" s="2">
        <v>2</v>
      </c>
      <c r="P29" s="2">
        <v>49</v>
      </c>
      <c r="Q29" s="2" t="s">
        <v>48</v>
      </c>
      <c r="R29" s="2">
        <v>53</v>
      </c>
    </row>
    <row r="30" spans="1:18" x14ac:dyDescent="0.3">
      <c r="A30" s="2" t="s">
        <v>203</v>
      </c>
      <c r="B30" s="2" t="s">
        <v>333</v>
      </c>
      <c r="C30" s="2">
        <v>18</v>
      </c>
      <c r="D30" s="2" t="s">
        <v>90</v>
      </c>
      <c r="E30" s="2" t="s">
        <v>107</v>
      </c>
      <c r="F30" s="2" t="s">
        <v>95</v>
      </c>
      <c r="G30" s="2" t="s">
        <v>37</v>
      </c>
      <c r="H30" s="3">
        <v>45588</v>
      </c>
      <c r="I30" s="3">
        <v>44986</v>
      </c>
      <c r="J30" s="2">
        <v>5000</v>
      </c>
      <c r="K30" s="2">
        <v>0</v>
      </c>
      <c r="L30" s="2">
        <v>5000</v>
      </c>
      <c r="M30" s="2" t="s">
        <v>42</v>
      </c>
      <c r="N30" s="2" t="s">
        <v>25</v>
      </c>
      <c r="O30" s="2">
        <v>2</v>
      </c>
      <c r="P30" s="2">
        <v>18</v>
      </c>
      <c r="Q30" s="2" t="s">
        <v>52</v>
      </c>
      <c r="R30" s="2">
        <v>17</v>
      </c>
    </row>
    <row r="31" spans="1:18" x14ac:dyDescent="0.3">
      <c r="A31" s="2" t="s">
        <v>239</v>
      </c>
      <c r="B31" s="2" t="s">
        <v>369</v>
      </c>
      <c r="C31" s="2">
        <v>21</v>
      </c>
      <c r="D31" s="2" t="s">
        <v>90</v>
      </c>
      <c r="E31" s="2" t="s">
        <v>172</v>
      </c>
      <c r="F31" s="2" t="s">
        <v>66</v>
      </c>
      <c r="G31" s="2" t="s">
        <v>37</v>
      </c>
      <c r="H31" s="3">
        <v>45337</v>
      </c>
      <c r="I31" s="3">
        <v>45430</v>
      </c>
      <c r="J31" s="2">
        <v>5000</v>
      </c>
      <c r="K31" s="2">
        <v>1000</v>
      </c>
      <c r="L31" s="2">
        <v>4000</v>
      </c>
      <c r="M31" s="2" t="s">
        <v>24</v>
      </c>
      <c r="N31" s="2" t="s">
        <v>48</v>
      </c>
      <c r="O31" s="2">
        <v>3</v>
      </c>
      <c r="P31" s="2">
        <v>43</v>
      </c>
      <c r="Q31" s="2" t="s">
        <v>48</v>
      </c>
      <c r="R31" s="2">
        <v>67</v>
      </c>
    </row>
    <row r="32" spans="1:18" x14ac:dyDescent="0.3">
      <c r="A32" s="2" t="s">
        <v>240</v>
      </c>
      <c r="B32" s="2" t="s">
        <v>370</v>
      </c>
      <c r="C32" s="2">
        <v>32</v>
      </c>
      <c r="D32" s="2" t="s">
        <v>90</v>
      </c>
      <c r="E32" s="2" t="s">
        <v>59</v>
      </c>
      <c r="F32" s="2" t="s">
        <v>30</v>
      </c>
      <c r="G32" s="2" t="s">
        <v>23</v>
      </c>
      <c r="H32" s="3">
        <v>45502</v>
      </c>
      <c r="I32" s="3">
        <v>44986</v>
      </c>
      <c r="J32" s="2">
        <v>6000</v>
      </c>
      <c r="K32" s="2">
        <v>500</v>
      </c>
      <c r="L32" s="2">
        <v>5500</v>
      </c>
      <c r="M32" s="2" t="s">
        <v>24</v>
      </c>
      <c r="N32" s="2" t="s">
        <v>25</v>
      </c>
      <c r="O32" s="2">
        <v>2</v>
      </c>
      <c r="P32" s="2">
        <v>46</v>
      </c>
      <c r="Q32" s="2" t="s">
        <v>52</v>
      </c>
      <c r="R32" s="2">
        <v>0</v>
      </c>
    </row>
    <row r="33" spans="1:18" x14ac:dyDescent="0.3">
      <c r="A33" s="2" t="s">
        <v>230</v>
      </c>
      <c r="B33" s="2" t="s">
        <v>360</v>
      </c>
      <c r="C33" s="2">
        <v>22</v>
      </c>
      <c r="D33" s="2" t="s">
        <v>50</v>
      </c>
      <c r="E33" s="2" t="s">
        <v>76</v>
      </c>
      <c r="F33" s="2" t="s">
        <v>22</v>
      </c>
      <c r="G33" s="2" t="s">
        <v>23</v>
      </c>
      <c r="H33" s="3">
        <v>45385</v>
      </c>
      <c r="I33" s="3">
        <v>45432</v>
      </c>
      <c r="J33" s="2">
        <v>7000</v>
      </c>
      <c r="K33" s="2">
        <v>500</v>
      </c>
      <c r="L33" s="2">
        <v>6500</v>
      </c>
      <c r="M33" s="2" t="s">
        <v>42</v>
      </c>
      <c r="N33" s="2" t="s">
        <v>71</v>
      </c>
      <c r="O33" s="2">
        <v>0</v>
      </c>
      <c r="P33" s="2">
        <v>27</v>
      </c>
      <c r="Q33" s="2" t="s">
        <v>48</v>
      </c>
      <c r="R33" s="2">
        <v>81</v>
      </c>
    </row>
    <row r="34" spans="1:18" x14ac:dyDescent="0.3">
      <c r="A34" s="2" t="s">
        <v>131</v>
      </c>
      <c r="B34" s="2" t="s">
        <v>271</v>
      </c>
      <c r="C34" s="2">
        <v>32</v>
      </c>
      <c r="D34" s="2" t="s">
        <v>90</v>
      </c>
      <c r="E34" s="2" t="s">
        <v>132</v>
      </c>
      <c r="F34" s="2" t="s">
        <v>46</v>
      </c>
      <c r="G34" s="2" t="s">
        <v>47</v>
      </c>
      <c r="H34" s="3">
        <v>45427</v>
      </c>
      <c r="I34" s="3">
        <v>44986</v>
      </c>
      <c r="J34" s="2">
        <v>5000</v>
      </c>
      <c r="K34" s="2">
        <v>0</v>
      </c>
      <c r="L34" s="2">
        <v>5000</v>
      </c>
      <c r="M34" s="2" t="s">
        <v>42</v>
      </c>
      <c r="N34" s="2" t="s">
        <v>31</v>
      </c>
      <c r="O34" s="2">
        <v>0</v>
      </c>
      <c r="P34" s="2">
        <v>40</v>
      </c>
      <c r="Q34" s="2" t="s">
        <v>52</v>
      </c>
      <c r="R34" s="2">
        <v>55</v>
      </c>
    </row>
    <row r="35" spans="1:18" x14ac:dyDescent="0.3">
      <c r="A35" s="2" t="s">
        <v>84</v>
      </c>
      <c r="B35" s="2" t="s">
        <v>253</v>
      </c>
      <c r="C35" s="2">
        <v>19</v>
      </c>
      <c r="D35" s="2" t="s">
        <v>90</v>
      </c>
      <c r="E35" s="2" t="s">
        <v>76</v>
      </c>
      <c r="F35" s="2" t="s">
        <v>78</v>
      </c>
      <c r="G35" s="2" t="s">
        <v>79</v>
      </c>
      <c r="H35" s="3">
        <v>45418</v>
      </c>
      <c r="I35" s="3">
        <v>45553</v>
      </c>
      <c r="J35" s="2">
        <v>3000</v>
      </c>
      <c r="K35" s="2">
        <v>500</v>
      </c>
      <c r="L35" s="2">
        <v>2500</v>
      </c>
      <c r="M35" s="2" t="s">
        <v>42</v>
      </c>
      <c r="N35" s="2" t="s">
        <v>31</v>
      </c>
      <c r="O35" s="2">
        <v>0</v>
      </c>
      <c r="P35" s="2">
        <v>22</v>
      </c>
      <c r="Q35" s="2" t="s">
        <v>48</v>
      </c>
      <c r="R35" s="2">
        <v>86</v>
      </c>
    </row>
    <row r="36" spans="1:18" x14ac:dyDescent="0.3">
      <c r="A36" s="2" t="s">
        <v>67</v>
      </c>
      <c r="B36" s="2" t="s">
        <v>245</v>
      </c>
      <c r="C36" s="2">
        <v>26</v>
      </c>
      <c r="D36" s="2" t="s">
        <v>90</v>
      </c>
      <c r="E36" s="2" t="s">
        <v>57</v>
      </c>
      <c r="F36" s="2" t="s">
        <v>22</v>
      </c>
      <c r="G36" s="2" t="s">
        <v>23</v>
      </c>
      <c r="H36" s="3">
        <v>45317</v>
      </c>
      <c r="I36" s="3">
        <v>45400</v>
      </c>
      <c r="J36" s="2">
        <v>3000</v>
      </c>
      <c r="K36" s="2">
        <v>500</v>
      </c>
      <c r="L36" s="2">
        <v>2500</v>
      </c>
      <c r="M36" s="2" t="s">
        <v>24</v>
      </c>
      <c r="N36" s="2" t="s">
        <v>52</v>
      </c>
      <c r="O36" s="2">
        <v>8</v>
      </c>
      <c r="P36" s="2">
        <v>25</v>
      </c>
      <c r="Q36" s="2" t="s">
        <v>25</v>
      </c>
      <c r="R36" s="2">
        <v>10</v>
      </c>
    </row>
    <row r="37" spans="1:18" x14ac:dyDescent="0.3">
      <c r="A37" s="2" t="s">
        <v>200</v>
      </c>
      <c r="B37" s="2" t="s">
        <v>330</v>
      </c>
      <c r="C37" s="2">
        <v>26</v>
      </c>
      <c r="D37" s="2" t="s">
        <v>90</v>
      </c>
      <c r="E37" s="2" t="s">
        <v>158</v>
      </c>
      <c r="F37" s="2" t="s">
        <v>22</v>
      </c>
      <c r="G37" s="2" t="s">
        <v>23</v>
      </c>
      <c r="H37" s="3">
        <v>45530</v>
      </c>
      <c r="I37" s="3">
        <v>44986</v>
      </c>
      <c r="J37" s="2">
        <v>5000</v>
      </c>
      <c r="K37" s="2">
        <v>0</v>
      </c>
      <c r="L37" s="2">
        <v>5000</v>
      </c>
      <c r="M37" s="2" t="s">
        <v>42</v>
      </c>
      <c r="N37" s="2" t="s">
        <v>31</v>
      </c>
      <c r="O37" s="2">
        <v>0</v>
      </c>
      <c r="P37" s="2">
        <v>39</v>
      </c>
      <c r="Q37" s="2" t="s">
        <v>48</v>
      </c>
      <c r="R37" s="2">
        <v>0</v>
      </c>
    </row>
    <row r="38" spans="1:18" x14ac:dyDescent="0.3">
      <c r="A38" s="2" t="s">
        <v>145</v>
      </c>
      <c r="B38" s="2" t="s">
        <v>281</v>
      </c>
      <c r="C38" s="2">
        <v>19</v>
      </c>
      <c r="D38" s="2" t="s">
        <v>20</v>
      </c>
      <c r="E38" s="2" t="s">
        <v>146</v>
      </c>
      <c r="F38" s="2" t="s">
        <v>22</v>
      </c>
      <c r="G38" s="2" t="s">
        <v>23</v>
      </c>
      <c r="H38" s="3">
        <v>45575</v>
      </c>
      <c r="I38" s="3">
        <v>45601</v>
      </c>
      <c r="J38" s="2">
        <v>6000</v>
      </c>
      <c r="K38" s="2">
        <v>500</v>
      </c>
      <c r="L38" s="2">
        <v>5500</v>
      </c>
      <c r="M38" s="2" t="s">
        <v>24</v>
      </c>
      <c r="N38" s="2" t="s">
        <v>48</v>
      </c>
      <c r="O38" s="2">
        <v>0</v>
      </c>
      <c r="P38" s="2">
        <v>9</v>
      </c>
      <c r="Q38" s="2" t="s">
        <v>48</v>
      </c>
      <c r="R38" s="2">
        <v>34</v>
      </c>
    </row>
    <row r="39" spans="1:18" x14ac:dyDescent="0.3">
      <c r="A39" s="2" t="s">
        <v>92</v>
      </c>
      <c r="B39" s="2" t="s">
        <v>44</v>
      </c>
      <c r="C39" s="2">
        <v>23</v>
      </c>
      <c r="D39" s="2" t="s">
        <v>34</v>
      </c>
      <c r="E39" s="2" t="s">
        <v>93</v>
      </c>
      <c r="F39" s="2" t="s">
        <v>36</v>
      </c>
      <c r="G39" s="2" t="s">
        <v>37</v>
      </c>
      <c r="H39" s="3">
        <v>45438</v>
      </c>
      <c r="I39" s="3">
        <v>45464</v>
      </c>
      <c r="J39" s="2">
        <v>6000</v>
      </c>
      <c r="K39" s="2">
        <v>500</v>
      </c>
      <c r="L39" s="2">
        <v>5500</v>
      </c>
      <c r="M39" s="2" t="s">
        <v>42</v>
      </c>
      <c r="N39" s="2" t="s">
        <v>38</v>
      </c>
      <c r="O39" s="2">
        <v>0</v>
      </c>
      <c r="P39" s="2">
        <v>50</v>
      </c>
      <c r="Q39" s="2" t="s">
        <v>48</v>
      </c>
      <c r="R39" s="2">
        <v>0</v>
      </c>
    </row>
    <row r="40" spans="1:18" x14ac:dyDescent="0.3">
      <c r="A40" s="2" t="s">
        <v>227</v>
      </c>
      <c r="B40" s="2" t="s">
        <v>357</v>
      </c>
      <c r="C40" s="2">
        <v>32</v>
      </c>
      <c r="D40" s="2" t="s">
        <v>90</v>
      </c>
      <c r="E40" s="2" t="s">
        <v>107</v>
      </c>
      <c r="F40" s="2" t="s">
        <v>22</v>
      </c>
      <c r="G40" s="2" t="s">
        <v>23</v>
      </c>
      <c r="H40" s="3">
        <v>45303</v>
      </c>
      <c r="I40" s="3">
        <v>45411</v>
      </c>
      <c r="J40" s="2">
        <v>5000</v>
      </c>
      <c r="K40" s="2">
        <v>500</v>
      </c>
      <c r="L40" s="2">
        <v>4500</v>
      </c>
      <c r="M40" s="2" t="s">
        <v>42</v>
      </c>
      <c r="N40" s="2" t="s">
        <v>48</v>
      </c>
      <c r="O40" s="2">
        <v>3</v>
      </c>
      <c r="P40" s="2">
        <v>10</v>
      </c>
      <c r="Q40" s="2" t="s">
        <v>31</v>
      </c>
      <c r="R40" s="2">
        <v>0</v>
      </c>
    </row>
    <row r="41" spans="1:18" x14ac:dyDescent="0.3">
      <c r="A41" s="2" t="s">
        <v>224</v>
      </c>
      <c r="B41" s="2" t="s">
        <v>354</v>
      </c>
      <c r="C41" s="2">
        <v>25</v>
      </c>
      <c r="D41" s="2" t="s">
        <v>90</v>
      </c>
      <c r="E41" s="2" t="s">
        <v>65</v>
      </c>
      <c r="F41" s="2" t="s">
        <v>22</v>
      </c>
      <c r="G41" s="2" t="s">
        <v>23</v>
      </c>
      <c r="H41" s="3">
        <v>45521</v>
      </c>
      <c r="I41" s="3">
        <v>44986</v>
      </c>
      <c r="J41" s="2">
        <v>7000</v>
      </c>
      <c r="K41" s="2">
        <v>0</v>
      </c>
      <c r="L41" s="2">
        <v>7000</v>
      </c>
      <c r="M41" s="2" t="s">
        <v>42</v>
      </c>
      <c r="N41" s="2" t="s">
        <v>38</v>
      </c>
      <c r="O41" s="2">
        <v>7</v>
      </c>
      <c r="P41" s="2">
        <v>50</v>
      </c>
      <c r="Q41" s="2" t="s">
        <v>31</v>
      </c>
      <c r="R41" s="2">
        <v>68</v>
      </c>
    </row>
    <row r="42" spans="1:18" x14ac:dyDescent="0.3">
      <c r="A42" s="2" t="s">
        <v>159</v>
      </c>
      <c r="B42" s="2" t="s">
        <v>291</v>
      </c>
      <c r="C42" s="2">
        <v>19</v>
      </c>
      <c r="D42" s="2" t="s">
        <v>50</v>
      </c>
      <c r="E42" s="2" t="s">
        <v>141</v>
      </c>
      <c r="F42" s="2" t="s">
        <v>78</v>
      </c>
      <c r="G42" s="2" t="s">
        <v>79</v>
      </c>
      <c r="H42" s="3">
        <v>45586</v>
      </c>
      <c r="I42" s="3">
        <v>44986</v>
      </c>
      <c r="J42" s="2">
        <v>5000</v>
      </c>
      <c r="K42" s="2">
        <v>500</v>
      </c>
      <c r="L42" s="2">
        <v>4500</v>
      </c>
      <c r="M42" s="2" t="s">
        <v>24</v>
      </c>
      <c r="N42" s="2" t="s">
        <v>25</v>
      </c>
      <c r="O42" s="2">
        <v>0</v>
      </c>
      <c r="P42" s="2">
        <v>10</v>
      </c>
      <c r="Q42" s="2" t="s">
        <v>48</v>
      </c>
      <c r="R42" s="2">
        <v>0</v>
      </c>
    </row>
    <row r="43" spans="1:18" x14ac:dyDescent="0.3">
      <c r="A43" s="2" t="s">
        <v>190</v>
      </c>
      <c r="B43" s="2" t="s">
        <v>320</v>
      </c>
      <c r="C43" s="2">
        <v>30</v>
      </c>
      <c r="D43" s="2" t="s">
        <v>34</v>
      </c>
      <c r="E43" s="2" t="s">
        <v>149</v>
      </c>
      <c r="F43" s="2" t="s">
        <v>30</v>
      </c>
      <c r="G43" s="2" t="s">
        <v>23</v>
      </c>
      <c r="H43" s="3">
        <v>45393</v>
      </c>
      <c r="I43" s="3">
        <v>44986</v>
      </c>
      <c r="J43" s="2">
        <v>7000</v>
      </c>
      <c r="K43" s="2">
        <v>0</v>
      </c>
      <c r="L43" s="2">
        <v>7000</v>
      </c>
      <c r="M43" s="2" t="s">
        <v>24</v>
      </c>
      <c r="N43" s="2" t="s">
        <v>25</v>
      </c>
      <c r="O43" s="2">
        <v>0</v>
      </c>
      <c r="P43" s="2">
        <v>33</v>
      </c>
      <c r="Q43" s="2" t="s">
        <v>52</v>
      </c>
      <c r="R43" s="2">
        <v>77</v>
      </c>
    </row>
    <row r="44" spans="1:18" x14ac:dyDescent="0.3">
      <c r="A44" s="2" t="s">
        <v>80</v>
      </c>
      <c r="B44" s="2" t="s">
        <v>251</v>
      </c>
      <c r="C44" s="2">
        <v>32</v>
      </c>
      <c r="D44" s="2" t="s">
        <v>28</v>
      </c>
      <c r="E44" s="2" t="s">
        <v>51</v>
      </c>
      <c r="F44" s="2" t="s">
        <v>22</v>
      </c>
      <c r="G44" s="2" t="s">
        <v>23</v>
      </c>
      <c r="H44" s="3">
        <v>45645</v>
      </c>
      <c r="I44" s="3">
        <v>45760</v>
      </c>
      <c r="J44" s="2">
        <v>6000</v>
      </c>
      <c r="K44" s="2">
        <v>1000</v>
      </c>
      <c r="L44" s="2">
        <v>5000</v>
      </c>
      <c r="M44" s="2" t="s">
        <v>42</v>
      </c>
      <c r="N44" s="2" t="s">
        <v>71</v>
      </c>
      <c r="O44" s="2">
        <v>3</v>
      </c>
      <c r="P44" s="2">
        <v>2</v>
      </c>
      <c r="Q44" s="2" t="s">
        <v>31</v>
      </c>
      <c r="R44" s="2">
        <v>0</v>
      </c>
    </row>
    <row r="45" spans="1:18" x14ac:dyDescent="0.3">
      <c r="A45" s="2" t="s">
        <v>212</v>
      </c>
      <c r="B45" s="2" t="s">
        <v>342</v>
      </c>
      <c r="C45" s="2">
        <v>33</v>
      </c>
      <c r="D45" s="2" t="s">
        <v>34</v>
      </c>
      <c r="E45" s="2" t="s">
        <v>21</v>
      </c>
      <c r="F45" s="2" t="s">
        <v>78</v>
      </c>
      <c r="G45" s="2" t="s">
        <v>79</v>
      </c>
      <c r="H45" s="3">
        <v>45378</v>
      </c>
      <c r="I45" s="3">
        <v>44986</v>
      </c>
      <c r="J45" s="2">
        <v>4000</v>
      </c>
      <c r="K45" s="2">
        <v>0</v>
      </c>
      <c r="L45" s="2">
        <v>4000</v>
      </c>
      <c r="M45" s="2" t="s">
        <v>42</v>
      </c>
      <c r="N45" s="2" t="s">
        <v>25</v>
      </c>
      <c r="O45" s="2">
        <v>9</v>
      </c>
      <c r="P45" s="2">
        <v>42</v>
      </c>
      <c r="Q45" s="2" t="s">
        <v>25</v>
      </c>
      <c r="R45" s="2">
        <v>0</v>
      </c>
    </row>
    <row r="46" spans="1:18" x14ac:dyDescent="0.3">
      <c r="A46" s="2" t="s">
        <v>160</v>
      </c>
      <c r="B46" s="2" t="s">
        <v>292</v>
      </c>
      <c r="C46" s="2">
        <v>31</v>
      </c>
      <c r="D46" s="2" t="s">
        <v>90</v>
      </c>
      <c r="E46" s="2" t="s">
        <v>87</v>
      </c>
      <c r="F46" s="2" t="s">
        <v>22</v>
      </c>
      <c r="G46" s="2" t="s">
        <v>23</v>
      </c>
      <c r="H46" s="3">
        <v>45494</v>
      </c>
      <c r="I46" s="3">
        <v>45605</v>
      </c>
      <c r="J46" s="2">
        <v>4000</v>
      </c>
      <c r="K46" s="2">
        <v>1000</v>
      </c>
      <c r="L46" s="2">
        <v>3000</v>
      </c>
      <c r="M46" s="2" t="s">
        <v>42</v>
      </c>
      <c r="N46" s="2" t="s">
        <v>48</v>
      </c>
      <c r="O46" s="2">
        <v>9</v>
      </c>
      <c r="P46" s="2">
        <v>7</v>
      </c>
      <c r="Q46" s="2" t="s">
        <v>48</v>
      </c>
      <c r="R46" s="2">
        <v>0</v>
      </c>
    </row>
    <row r="47" spans="1:18" x14ac:dyDescent="0.3">
      <c r="A47" s="2" t="s">
        <v>225</v>
      </c>
      <c r="B47" s="2" t="s">
        <v>355</v>
      </c>
      <c r="C47" s="2">
        <v>25</v>
      </c>
      <c r="D47" s="2" t="s">
        <v>90</v>
      </c>
      <c r="E47" s="2" t="s">
        <v>146</v>
      </c>
      <c r="F47" s="2" t="s">
        <v>66</v>
      </c>
      <c r="G47" s="2" t="s">
        <v>37</v>
      </c>
      <c r="H47" s="3">
        <v>45461</v>
      </c>
      <c r="I47" s="3">
        <v>45562</v>
      </c>
      <c r="J47" s="2">
        <v>3000</v>
      </c>
      <c r="K47" s="2">
        <v>0</v>
      </c>
      <c r="L47" s="2">
        <v>3000</v>
      </c>
      <c r="M47" s="2" t="s">
        <v>24</v>
      </c>
      <c r="N47" s="2" t="s">
        <v>48</v>
      </c>
      <c r="O47" s="2">
        <v>9</v>
      </c>
      <c r="P47" s="2">
        <v>37</v>
      </c>
      <c r="Q47" s="2" t="s">
        <v>48</v>
      </c>
      <c r="R47" s="2">
        <v>0</v>
      </c>
    </row>
    <row r="48" spans="1:18" x14ac:dyDescent="0.3">
      <c r="A48" s="2" t="s">
        <v>106</v>
      </c>
      <c r="B48" s="2" t="s">
        <v>110</v>
      </c>
      <c r="C48" s="2">
        <v>31</v>
      </c>
      <c r="D48" s="2" t="s">
        <v>34</v>
      </c>
      <c r="E48" s="2" t="s">
        <v>107</v>
      </c>
      <c r="F48" s="2" t="s">
        <v>88</v>
      </c>
      <c r="G48" s="2" t="s">
        <v>37</v>
      </c>
      <c r="H48" s="3">
        <v>45471</v>
      </c>
      <c r="I48" s="3">
        <v>45499</v>
      </c>
      <c r="J48" s="2">
        <v>6000</v>
      </c>
      <c r="K48" s="2">
        <v>0</v>
      </c>
      <c r="L48" s="2">
        <v>6000</v>
      </c>
      <c r="M48" s="2" t="s">
        <v>42</v>
      </c>
      <c r="N48" s="2" t="s">
        <v>25</v>
      </c>
      <c r="O48" s="2">
        <v>4</v>
      </c>
      <c r="P48" s="2">
        <v>39</v>
      </c>
      <c r="Q48" s="2" t="s">
        <v>48</v>
      </c>
      <c r="R48" s="2">
        <v>0</v>
      </c>
    </row>
    <row r="49" spans="1:18" x14ac:dyDescent="0.3">
      <c r="A49" s="2" t="s">
        <v>58</v>
      </c>
      <c r="B49" s="2" t="s">
        <v>33</v>
      </c>
      <c r="C49" s="2">
        <v>34</v>
      </c>
      <c r="D49" s="2" t="s">
        <v>28</v>
      </c>
      <c r="E49" s="2" t="s">
        <v>59</v>
      </c>
      <c r="F49" s="2" t="s">
        <v>36</v>
      </c>
      <c r="G49" s="2" t="s">
        <v>37</v>
      </c>
      <c r="H49" s="3">
        <v>45496</v>
      </c>
      <c r="I49" s="3">
        <v>45581</v>
      </c>
      <c r="J49" s="2">
        <v>6000</v>
      </c>
      <c r="K49" s="2">
        <v>0</v>
      </c>
      <c r="L49" s="2">
        <v>6000</v>
      </c>
      <c r="M49" s="2" t="s">
        <v>42</v>
      </c>
      <c r="N49" s="2" t="s">
        <v>25</v>
      </c>
      <c r="O49" s="2">
        <v>4</v>
      </c>
      <c r="P49" s="2">
        <v>21</v>
      </c>
      <c r="Q49" s="2" t="s">
        <v>25</v>
      </c>
      <c r="R49" s="2">
        <v>37</v>
      </c>
    </row>
    <row r="50" spans="1:18" x14ac:dyDescent="0.3">
      <c r="A50" s="2" t="s">
        <v>148</v>
      </c>
      <c r="B50" s="2" t="s">
        <v>283</v>
      </c>
      <c r="C50" s="2">
        <v>34</v>
      </c>
      <c r="D50" s="2" t="s">
        <v>62</v>
      </c>
      <c r="E50" s="2" t="s">
        <v>149</v>
      </c>
      <c r="F50" s="2" t="s">
        <v>46</v>
      </c>
      <c r="G50" s="2" t="s">
        <v>47</v>
      </c>
      <c r="H50" s="3">
        <v>45621</v>
      </c>
      <c r="I50" s="3">
        <v>44986</v>
      </c>
      <c r="J50" s="2">
        <v>6000</v>
      </c>
      <c r="K50" s="2">
        <v>500</v>
      </c>
      <c r="L50" s="2">
        <v>5500</v>
      </c>
      <c r="M50" s="2" t="s">
        <v>42</v>
      </c>
      <c r="N50" s="2" t="s">
        <v>38</v>
      </c>
      <c r="O50" s="2">
        <v>8</v>
      </c>
      <c r="P50" s="2">
        <v>28</v>
      </c>
      <c r="Q50" s="2" t="s">
        <v>25</v>
      </c>
      <c r="R50" s="2">
        <v>0</v>
      </c>
    </row>
    <row r="51" spans="1:18" x14ac:dyDescent="0.3">
      <c r="A51" s="2" t="s">
        <v>234</v>
      </c>
      <c r="B51" s="2" t="s">
        <v>364</v>
      </c>
      <c r="C51" s="2">
        <v>31</v>
      </c>
      <c r="D51" s="2" t="s">
        <v>90</v>
      </c>
      <c r="E51" s="2" t="s">
        <v>158</v>
      </c>
      <c r="F51" s="2" t="s">
        <v>78</v>
      </c>
      <c r="G51" s="2" t="s">
        <v>79</v>
      </c>
      <c r="H51" s="3">
        <v>45564</v>
      </c>
      <c r="I51" s="3">
        <v>45599</v>
      </c>
      <c r="J51" s="2">
        <v>5000</v>
      </c>
      <c r="K51" s="2">
        <v>1000</v>
      </c>
      <c r="L51" s="2">
        <v>4000</v>
      </c>
      <c r="M51" s="2" t="s">
        <v>24</v>
      </c>
      <c r="N51" s="2" t="s">
        <v>71</v>
      </c>
      <c r="O51" s="2">
        <v>9</v>
      </c>
      <c r="P51" s="2">
        <v>6</v>
      </c>
      <c r="Q51" s="2" t="s">
        <v>48</v>
      </c>
      <c r="R51" s="2">
        <v>48</v>
      </c>
    </row>
    <row r="52" spans="1:18" x14ac:dyDescent="0.3">
      <c r="A52" s="2" t="s">
        <v>167</v>
      </c>
      <c r="B52" s="2" t="s">
        <v>299</v>
      </c>
      <c r="C52" s="2">
        <v>22</v>
      </c>
      <c r="D52" s="2" t="s">
        <v>20</v>
      </c>
      <c r="E52" s="2" t="s">
        <v>21</v>
      </c>
      <c r="F52" s="2" t="s">
        <v>30</v>
      </c>
      <c r="G52" s="2" t="s">
        <v>23</v>
      </c>
      <c r="H52" s="3">
        <v>45516</v>
      </c>
      <c r="I52" s="3">
        <v>45521</v>
      </c>
      <c r="J52" s="2">
        <v>5000</v>
      </c>
      <c r="K52" s="2">
        <v>500</v>
      </c>
      <c r="L52" s="2">
        <v>4500</v>
      </c>
      <c r="M52" s="2" t="s">
        <v>42</v>
      </c>
      <c r="N52" s="2" t="s">
        <v>71</v>
      </c>
      <c r="O52" s="2">
        <v>5</v>
      </c>
      <c r="P52" s="2">
        <v>34</v>
      </c>
      <c r="Q52" s="2" t="s">
        <v>48</v>
      </c>
      <c r="R52" s="2">
        <v>19</v>
      </c>
    </row>
    <row r="53" spans="1:18" x14ac:dyDescent="0.3">
      <c r="A53" s="2" t="s">
        <v>69</v>
      </c>
      <c r="B53" s="2" t="s">
        <v>246</v>
      </c>
      <c r="C53" s="2">
        <v>32</v>
      </c>
      <c r="D53" s="2" t="s">
        <v>90</v>
      </c>
      <c r="E53" s="2" t="s">
        <v>70</v>
      </c>
      <c r="F53" s="2" t="s">
        <v>46</v>
      </c>
      <c r="G53" s="2" t="s">
        <v>47</v>
      </c>
      <c r="H53" s="3">
        <v>45371</v>
      </c>
      <c r="I53" s="3">
        <v>45395</v>
      </c>
      <c r="J53" s="2">
        <v>3000</v>
      </c>
      <c r="K53" s="2">
        <v>0</v>
      </c>
      <c r="L53" s="2">
        <v>3000</v>
      </c>
      <c r="M53" s="2" t="s">
        <v>42</v>
      </c>
      <c r="N53" s="2" t="s">
        <v>71</v>
      </c>
      <c r="O53" s="2">
        <v>1</v>
      </c>
      <c r="P53" s="2">
        <v>3</v>
      </c>
      <c r="Q53" s="2" t="s">
        <v>48</v>
      </c>
      <c r="R53" s="2">
        <v>64</v>
      </c>
    </row>
    <row r="54" spans="1:18" x14ac:dyDescent="0.3">
      <c r="A54" s="2" t="s">
        <v>202</v>
      </c>
      <c r="B54" s="2" t="s">
        <v>332</v>
      </c>
      <c r="C54" s="2">
        <v>35</v>
      </c>
      <c r="D54" s="2" t="s">
        <v>90</v>
      </c>
      <c r="E54" s="2" t="s">
        <v>149</v>
      </c>
      <c r="F54" s="2" t="s">
        <v>22</v>
      </c>
      <c r="G54" s="2" t="s">
        <v>23</v>
      </c>
      <c r="H54" s="3">
        <v>45640</v>
      </c>
      <c r="I54" s="3">
        <v>44986</v>
      </c>
      <c r="J54" s="2">
        <v>3000</v>
      </c>
      <c r="K54" s="2">
        <v>0</v>
      </c>
      <c r="L54" s="2">
        <v>3000</v>
      </c>
      <c r="M54" s="2" t="s">
        <v>42</v>
      </c>
      <c r="N54" s="2" t="s">
        <v>25</v>
      </c>
      <c r="O54" s="2">
        <v>3</v>
      </c>
      <c r="P54" s="2">
        <v>26</v>
      </c>
      <c r="Q54" s="2" t="s">
        <v>52</v>
      </c>
      <c r="R54" s="2">
        <v>7</v>
      </c>
    </row>
    <row r="55" spans="1:18" x14ac:dyDescent="0.3">
      <c r="A55" s="2" t="s">
        <v>177</v>
      </c>
      <c r="B55" s="2" t="s">
        <v>308</v>
      </c>
      <c r="C55" s="2">
        <v>28</v>
      </c>
      <c r="D55" s="2" t="s">
        <v>90</v>
      </c>
      <c r="E55" s="2" t="s">
        <v>178</v>
      </c>
      <c r="F55" s="2" t="s">
        <v>66</v>
      </c>
      <c r="G55" s="2" t="s">
        <v>37</v>
      </c>
      <c r="H55" s="3">
        <v>45377</v>
      </c>
      <c r="I55" s="3">
        <v>45465</v>
      </c>
      <c r="J55" s="2">
        <v>6000</v>
      </c>
      <c r="K55" s="2">
        <v>0</v>
      </c>
      <c r="L55" s="2">
        <v>6000</v>
      </c>
      <c r="M55" s="2" t="s">
        <v>42</v>
      </c>
      <c r="N55" s="2" t="s">
        <v>31</v>
      </c>
      <c r="O55" s="2">
        <v>0</v>
      </c>
      <c r="P55" s="2">
        <v>40</v>
      </c>
      <c r="Q55" s="2" t="s">
        <v>25</v>
      </c>
      <c r="R55" s="2">
        <v>85</v>
      </c>
    </row>
    <row r="56" spans="1:18" x14ac:dyDescent="0.3">
      <c r="A56" s="2" t="s">
        <v>111</v>
      </c>
      <c r="B56" s="2" t="s">
        <v>256</v>
      </c>
      <c r="C56" s="2">
        <v>26</v>
      </c>
      <c r="D56" s="2" t="s">
        <v>34</v>
      </c>
      <c r="E56" s="2" t="s">
        <v>83</v>
      </c>
      <c r="F56" s="2" t="s">
        <v>36</v>
      </c>
      <c r="G56" s="2" t="s">
        <v>37</v>
      </c>
      <c r="H56" s="3">
        <v>45457</v>
      </c>
      <c r="I56" s="3">
        <v>45301</v>
      </c>
      <c r="J56" s="2">
        <v>5000</v>
      </c>
      <c r="K56" s="2">
        <v>500</v>
      </c>
      <c r="L56" s="2">
        <v>4500</v>
      </c>
      <c r="M56" s="2" t="s">
        <v>24</v>
      </c>
      <c r="N56" s="2" t="s">
        <v>52</v>
      </c>
      <c r="O56" s="2">
        <v>10</v>
      </c>
      <c r="P56" s="2">
        <v>24</v>
      </c>
      <c r="Q56" s="2" t="s">
        <v>31</v>
      </c>
      <c r="R56" s="2">
        <v>0</v>
      </c>
    </row>
    <row r="57" spans="1:18" x14ac:dyDescent="0.3">
      <c r="A57" s="2" t="s">
        <v>235</v>
      </c>
      <c r="B57" s="2" t="s">
        <v>365</v>
      </c>
      <c r="C57" s="2">
        <v>22</v>
      </c>
      <c r="D57" s="2" t="s">
        <v>90</v>
      </c>
      <c r="E57" s="2" t="s">
        <v>45</v>
      </c>
      <c r="F57" s="2" t="s">
        <v>66</v>
      </c>
      <c r="G57" s="2" t="s">
        <v>37</v>
      </c>
      <c r="H57" s="3">
        <v>45542</v>
      </c>
      <c r="I57" s="3">
        <v>45560</v>
      </c>
      <c r="J57" s="2">
        <v>5000</v>
      </c>
      <c r="K57" s="2">
        <v>500</v>
      </c>
      <c r="L57" s="2">
        <v>4500</v>
      </c>
      <c r="M57" s="2" t="s">
        <v>42</v>
      </c>
      <c r="N57" s="2" t="s">
        <v>52</v>
      </c>
      <c r="O57" s="2">
        <v>0</v>
      </c>
      <c r="P57" s="2">
        <v>32</v>
      </c>
      <c r="Q57" s="2" t="s">
        <v>31</v>
      </c>
      <c r="R57" s="2">
        <v>0</v>
      </c>
    </row>
    <row r="58" spans="1:18" x14ac:dyDescent="0.3">
      <c r="A58" s="2" t="s">
        <v>163</v>
      </c>
      <c r="B58" s="2" t="s">
        <v>295</v>
      </c>
      <c r="C58" s="2">
        <v>32</v>
      </c>
      <c r="D58" s="2" t="s">
        <v>34</v>
      </c>
      <c r="E58" s="2" t="s">
        <v>105</v>
      </c>
      <c r="F58" s="2" t="s">
        <v>95</v>
      </c>
      <c r="G58" s="2" t="s">
        <v>37</v>
      </c>
      <c r="H58" s="3">
        <v>45456</v>
      </c>
      <c r="I58" s="3">
        <v>45533</v>
      </c>
      <c r="J58" s="2">
        <v>3000</v>
      </c>
      <c r="K58" s="2">
        <v>500</v>
      </c>
      <c r="L58" s="2">
        <v>2500</v>
      </c>
      <c r="M58" s="2" t="s">
        <v>24</v>
      </c>
      <c r="N58" s="2" t="s">
        <v>31</v>
      </c>
      <c r="O58" s="2">
        <v>9</v>
      </c>
      <c r="P58" s="2">
        <v>11</v>
      </c>
      <c r="Q58" s="2" t="s">
        <v>25</v>
      </c>
      <c r="R58" s="2">
        <v>0</v>
      </c>
    </row>
    <row r="59" spans="1:18" x14ac:dyDescent="0.3">
      <c r="A59" s="2" t="s">
        <v>191</v>
      </c>
      <c r="B59" s="2" t="s">
        <v>321</v>
      </c>
      <c r="C59" s="2">
        <v>28</v>
      </c>
      <c r="D59" s="2" t="s">
        <v>34</v>
      </c>
      <c r="E59" s="2" t="s">
        <v>105</v>
      </c>
      <c r="F59" s="2" t="s">
        <v>36</v>
      </c>
      <c r="G59" s="2" t="s">
        <v>37</v>
      </c>
      <c r="H59" s="3">
        <v>45595</v>
      </c>
      <c r="I59" s="3">
        <v>44986</v>
      </c>
      <c r="J59" s="2">
        <v>5000</v>
      </c>
      <c r="K59" s="2">
        <v>0</v>
      </c>
      <c r="L59" s="2">
        <v>5000</v>
      </c>
      <c r="M59" s="2" t="s">
        <v>24</v>
      </c>
      <c r="N59" s="2" t="s">
        <v>52</v>
      </c>
      <c r="O59" s="2">
        <v>0</v>
      </c>
      <c r="P59" s="2">
        <v>43</v>
      </c>
      <c r="Q59" s="2" t="s">
        <v>25</v>
      </c>
      <c r="R59" s="2">
        <v>0</v>
      </c>
    </row>
    <row r="60" spans="1:18" x14ac:dyDescent="0.3">
      <c r="A60" s="2" t="s">
        <v>137</v>
      </c>
      <c r="B60" s="2" t="s">
        <v>276</v>
      </c>
      <c r="C60" s="2">
        <v>27</v>
      </c>
      <c r="D60" s="2" t="s">
        <v>34</v>
      </c>
      <c r="E60" s="2" t="s">
        <v>139</v>
      </c>
      <c r="F60" s="2" t="s">
        <v>30</v>
      </c>
      <c r="G60" s="2" t="s">
        <v>23</v>
      </c>
      <c r="H60" s="3">
        <v>45338</v>
      </c>
      <c r="I60" s="3">
        <v>45454</v>
      </c>
      <c r="J60" s="2">
        <v>5000</v>
      </c>
      <c r="K60" s="2">
        <v>500</v>
      </c>
      <c r="L60" s="2">
        <v>4500</v>
      </c>
      <c r="M60" s="2" t="s">
        <v>24</v>
      </c>
      <c r="N60" s="2" t="s">
        <v>48</v>
      </c>
      <c r="O60" s="2">
        <v>0</v>
      </c>
      <c r="P60" s="2">
        <v>33</v>
      </c>
      <c r="Q60" s="2" t="s">
        <v>48</v>
      </c>
      <c r="R60" s="2">
        <v>58</v>
      </c>
    </row>
    <row r="61" spans="1:18" x14ac:dyDescent="0.3">
      <c r="A61" s="2" t="s">
        <v>55</v>
      </c>
      <c r="B61" s="2" t="s">
        <v>121</v>
      </c>
      <c r="C61" s="2">
        <v>28</v>
      </c>
      <c r="D61" s="2" t="s">
        <v>50</v>
      </c>
      <c r="E61" s="2" t="s">
        <v>57</v>
      </c>
      <c r="F61" s="2" t="s">
        <v>36</v>
      </c>
      <c r="G61" s="2" t="s">
        <v>37</v>
      </c>
      <c r="H61" s="3">
        <v>45327</v>
      </c>
      <c r="I61" s="3">
        <v>45540</v>
      </c>
      <c r="J61" s="2">
        <v>3000</v>
      </c>
      <c r="K61" s="2">
        <v>500</v>
      </c>
      <c r="L61" s="2">
        <v>2500</v>
      </c>
      <c r="M61" s="2" t="s">
        <v>42</v>
      </c>
      <c r="N61" s="2" t="s">
        <v>25</v>
      </c>
      <c r="O61" s="2">
        <v>9</v>
      </c>
      <c r="P61" s="2">
        <v>42</v>
      </c>
      <c r="Q61" s="2" t="s">
        <v>52</v>
      </c>
      <c r="R61" s="2">
        <v>60</v>
      </c>
    </row>
    <row r="62" spans="1:18" x14ac:dyDescent="0.3">
      <c r="A62" s="2" t="s">
        <v>77</v>
      </c>
      <c r="B62" s="2" t="s">
        <v>250</v>
      </c>
      <c r="C62" s="2">
        <v>26</v>
      </c>
      <c r="D62" s="2" t="s">
        <v>28</v>
      </c>
      <c r="E62" s="2" t="s">
        <v>59</v>
      </c>
      <c r="F62" s="2" t="s">
        <v>78</v>
      </c>
      <c r="G62" s="2" t="s">
        <v>79</v>
      </c>
      <c r="H62" s="3">
        <v>45396</v>
      </c>
      <c r="I62" s="3">
        <v>45483</v>
      </c>
      <c r="J62" s="2">
        <v>7000</v>
      </c>
      <c r="K62" s="2">
        <v>500</v>
      </c>
      <c r="L62" s="2">
        <v>6500</v>
      </c>
      <c r="M62" s="2" t="s">
        <v>24</v>
      </c>
      <c r="N62" s="2" t="s">
        <v>25</v>
      </c>
      <c r="O62" s="2">
        <v>0</v>
      </c>
      <c r="P62" s="2">
        <v>2</v>
      </c>
      <c r="Q62" s="2" t="s">
        <v>25</v>
      </c>
      <c r="R62" s="2">
        <v>16</v>
      </c>
    </row>
    <row r="63" spans="1:18" x14ac:dyDescent="0.3">
      <c r="A63" s="2" t="s">
        <v>173</v>
      </c>
      <c r="B63" s="2" t="s">
        <v>304</v>
      </c>
      <c r="C63" s="2">
        <v>27</v>
      </c>
      <c r="D63" s="2" t="s">
        <v>28</v>
      </c>
      <c r="E63" s="2" t="s">
        <v>45</v>
      </c>
      <c r="F63" s="2" t="s">
        <v>66</v>
      </c>
      <c r="G63" s="2" t="s">
        <v>37</v>
      </c>
      <c r="H63" s="3">
        <v>45387</v>
      </c>
      <c r="I63" s="3">
        <v>45472</v>
      </c>
      <c r="J63" s="2">
        <v>7000</v>
      </c>
      <c r="K63" s="2">
        <v>1000</v>
      </c>
      <c r="L63" s="2">
        <v>6000</v>
      </c>
      <c r="M63" s="2" t="s">
        <v>24</v>
      </c>
      <c r="N63" s="2" t="s">
        <v>71</v>
      </c>
      <c r="O63" s="2">
        <v>9</v>
      </c>
      <c r="P63" s="2">
        <v>35</v>
      </c>
      <c r="Q63" s="2" t="s">
        <v>25</v>
      </c>
      <c r="R63" s="2">
        <v>24</v>
      </c>
    </row>
    <row r="64" spans="1:18" x14ac:dyDescent="0.3">
      <c r="A64" s="2" t="s">
        <v>209</v>
      </c>
      <c r="B64" s="2" t="s">
        <v>339</v>
      </c>
      <c r="C64" s="2">
        <v>20</v>
      </c>
      <c r="D64" s="2" t="s">
        <v>34</v>
      </c>
      <c r="E64" s="2" t="s">
        <v>54</v>
      </c>
      <c r="F64" s="2" t="s">
        <v>88</v>
      </c>
      <c r="G64" s="2" t="s">
        <v>37</v>
      </c>
      <c r="H64" s="3">
        <v>45329</v>
      </c>
      <c r="I64" s="3">
        <v>45353</v>
      </c>
      <c r="J64" s="2">
        <v>6000</v>
      </c>
      <c r="K64" s="2">
        <v>500</v>
      </c>
      <c r="L64" s="2">
        <v>5500</v>
      </c>
      <c r="M64" s="2" t="s">
        <v>42</v>
      </c>
      <c r="N64" s="2" t="s">
        <v>31</v>
      </c>
      <c r="O64" s="2">
        <v>5</v>
      </c>
      <c r="P64" s="2">
        <v>12</v>
      </c>
      <c r="Q64" s="2" t="s">
        <v>25</v>
      </c>
      <c r="R64" s="2">
        <v>47</v>
      </c>
    </row>
    <row r="65" spans="1:18" x14ac:dyDescent="0.3">
      <c r="A65" s="2" t="s">
        <v>198</v>
      </c>
      <c r="B65" s="2" t="s">
        <v>328</v>
      </c>
      <c r="C65" s="2">
        <v>28</v>
      </c>
      <c r="D65" s="2" t="s">
        <v>90</v>
      </c>
      <c r="E65" s="2" t="s">
        <v>70</v>
      </c>
      <c r="F65" s="2" t="s">
        <v>46</v>
      </c>
      <c r="G65" s="2" t="s">
        <v>47</v>
      </c>
      <c r="H65" s="3">
        <v>45360</v>
      </c>
      <c r="I65" s="3">
        <v>44986</v>
      </c>
      <c r="J65" s="2">
        <v>5000</v>
      </c>
      <c r="K65" s="2">
        <v>500</v>
      </c>
      <c r="L65" s="2">
        <v>4500</v>
      </c>
      <c r="M65" s="2" t="s">
        <v>42</v>
      </c>
      <c r="N65" s="2" t="s">
        <v>25</v>
      </c>
      <c r="O65" s="2">
        <v>3</v>
      </c>
      <c r="P65" s="2">
        <v>29</v>
      </c>
      <c r="Q65" s="2" t="s">
        <v>31</v>
      </c>
      <c r="R65" s="2">
        <v>45</v>
      </c>
    </row>
    <row r="66" spans="1:18" x14ac:dyDescent="0.3">
      <c r="A66" s="2" t="s">
        <v>192</v>
      </c>
      <c r="B66" s="2" t="s">
        <v>322</v>
      </c>
      <c r="C66" s="2">
        <v>33</v>
      </c>
      <c r="D66" s="2" t="s">
        <v>62</v>
      </c>
      <c r="E66" s="2" t="s">
        <v>107</v>
      </c>
      <c r="F66" s="2" t="s">
        <v>46</v>
      </c>
      <c r="G66" s="2" t="s">
        <v>47</v>
      </c>
      <c r="H66" s="3">
        <v>45379</v>
      </c>
      <c r="I66" s="3">
        <v>44986</v>
      </c>
      <c r="J66" s="2">
        <v>4000</v>
      </c>
      <c r="K66" s="2">
        <v>500</v>
      </c>
      <c r="L66" s="2">
        <v>3500</v>
      </c>
      <c r="M66" s="2" t="s">
        <v>24</v>
      </c>
      <c r="N66" s="2" t="s">
        <v>71</v>
      </c>
      <c r="O66" s="2">
        <v>2</v>
      </c>
      <c r="P66" s="2">
        <v>28</v>
      </c>
      <c r="Q66" s="2" t="s">
        <v>31</v>
      </c>
      <c r="R66" s="2">
        <v>0</v>
      </c>
    </row>
    <row r="67" spans="1:18" x14ac:dyDescent="0.3">
      <c r="A67" s="2" t="s">
        <v>220</v>
      </c>
      <c r="B67" s="2" t="s">
        <v>350</v>
      </c>
      <c r="C67" s="2">
        <v>20</v>
      </c>
      <c r="D67" s="2" t="s">
        <v>90</v>
      </c>
      <c r="E67" s="2" t="s">
        <v>130</v>
      </c>
      <c r="F67" s="2" t="s">
        <v>66</v>
      </c>
      <c r="G67" s="2" t="s">
        <v>37</v>
      </c>
      <c r="H67" s="3">
        <v>45490</v>
      </c>
      <c r="I67" s="3">
        <v>45589</v>
      </c>
      <c r="J67" s="2">
        <v>7000</v>
      </c>
      <c r="K67" s="2">
        <v>0</v>
      </c>
      <c r="L67" s="2">
        <v>7000</v>
      </c>
      <c r="M67" s="2" t="s">
        <v>24</v>
      </c>
      <c r="N67" s="2" t="s">
        <v>38</v>
      </c>
      <c r="O67" s="2">
        <v>7</v>
      </c>
      <c r="P67" s="2">
        <v>17</v>
      </c>
      <c r="Q67" s="2" t="s">
        <v>31</v>
      </c>
      <c r="R67" s="2">
        <v>17</v>
      </c>
    </row>
    <row r="68" spans="1:18" x14ac:dyDescent="0.3">
      <c r="A68" s="2" t="s">
        <v>196</v>
      </c>
      <c r="B68" s="2" t="s">
        <v>326</v>
      </c>
      <c r="C68" s="2">
        <v>25</v>
      </c>
      <c r="D68" s="2" t="s">
        <v>90</v>
      </c>
      <c r="E68" s="2" t="s">
        <v>93</v>
      </c>
      <c r="F68" s="2" t="s">
        <v>95</v>
      </c>
      <c r="G68" s="2" t="s">
        <v>37</v>
      </c>
      <c r="H68" s="3">
        <v>45318</v>
      </c>
      <c r="I68" s="3">
        <v>45330</v>
      </c>
      <c r="J68" s="2">
        <v>5000</v>
      </c>
      <c r="K68" s="2">
        <v>500</v>
      </c>
      <c r="L68" s="2">
        <v>4500</v>
      </c>
      <c r="M68" s="2" t="s">
        <v>24</v>
      </c>
      <c r="N68" s="2" t="s">
        <v>38</v>
      </c>
      <c r="O68" s="2">
        <v>1</v>
      </c>
      <c r="P68" s="2">
        <v>10</v>
      </c>
      <c r="Q68" s="2" t="s">
        <v>52</v>
      </c>
      <c r="R68" s="2">
        <v>0</v>
      </c>
    </row>
    <row r="69" spans="1:18" x14ac:dyDescent="0.3">
      <c r="A69" s="2" t="s">
        <v>128</v>
      </c>
      <c r="B69" s="2" t="s">
        <v>269</v>
      </c>
      <c r="C69" s="2">
        <v>34</v>
      </c>
      <c r="D69" s="2" t="s">
        <v>50</v>
      </c>
      <c r="E69" s="2" t="s">
        <v>41</v>
      </c>
      <c r="F69" s="2" t="s">
        <v>36</v>
      </c>
      <c r="G69" s="2" t="s">
        <v>37</v>
      </c>
      <c r="H69" s="3">
        <v>45592</v>
      </c>
      <c r="I69" s="3">
        <v>44986</v>
      </c>
      <c r="J69" s="2">
        <v>6000</v>
      </c>
      <c r="K69" s="2">
        <v>500</v>
      </c>
      <c r="L69" s="2">
        <v>5500</v>
      </c>
      <c r="M69" s="2" t="s">
        <v>42</v>
      </c>
      <c r="N69" s="2" t="s">
        <v>71</v>
      </c>
      <c r="O69" s="2">
        <v>0</v>
      </c>
      <c r="P69" s="2">
        <v>35</v>
      </c>
      <c r="Q69" s="2" t="s">
        <v>48</v>
      </c>
      <c r="R69" s="2">
        <v>0</v>
      </c>
    </row>
    <row r="70" spans="1:18" x14ac:dyDescent="0.3">
      <c r="A70" s="2" t="s">
        <v>169</v>
      </c>
      <c r="B70" s="2" t="s">
        <v>301</v>
      </c>
      <c r="C70" s="2">
        <v>26</v>
      </c>
      <c r="D70" s="2" t="s">
        <v>34</v>
      </c>
      <c r="E70" s="2" t="s">
        <v>126</v>
      </c>
      <c r="F70" s="2" t="s">
        <v>22</v>
      </c>
      <c r="G70" s="2" t="s">
        <v>23</v>
      </c>
      <c r="H70" s="3">
        <v>45405</v>
      </c>
      <c r="I70" s="3">
        <v>45509</v>
      </c>
      <c r="J70" s="2">
        <v>3000</v>
      </c>
      <c r="K70" s="2">
        <v>500</v>
      </c>
      <c r="L70" s="2">
        <v>2500</v>
      </c>
      <c r="M70" s="2" t="s">
        <v>24</v>
      </c>
      <c r="N70" s="2" t="s">
        <v>52</v>
      </c>
      <c r="O70" s="2">
        <v>9</v>
      </c>
      <c r="P70" s="2">
        <v>24</v>
      </c>
      <c r="Q70" s="2" t="s">
        <v>25</v>
      </c>
      <c r="R70" s="2">
        <v>23</v>
      </c>
    </row>
    <row r="71" spans="1:18" x14ac:dyDescent="0.3">
      <c r="A71" s="2" t="s">
        <v>183</v>
      </c>
      <c r="B71" s="2" t="s">
        <v>313</v>
      </c>
      <c r="C71" s="2">
        <v>22</v>
      </c>
      <c r="D71" s="2" t="s">
        <v>90</v>
      </c>
      <c r="E71" s="2" t="s">
        <v>57</v>
      </c>
      <c r="F71" s="2" t="s">
        <v>46</v>
      </c>
      <c r="G71" s="2" t="s">
        <v>47</v>
      </c>
      <c r="H71" s="3">
        <v>45640</v>
      </c>
      <c r="I71" s="3">
        <v>45706</v>
      </c>
      <c r="J71" s="2">
        <v>6000</v>
      </c>
      <c r="K71" s="2">
        <v>0</v>
      </c>
      <c r="L71" s="2">
        <v>6000</v>
      </c>
      <c r="M71" s="2" t="s">
        <v>42</v>
      </c>
      <c r="N71" s="2" t="s">
        <v>71</v>
      </c>
      <c r="O71" s="2">
        <v>0</v>
      </c>
      <c r="P71" s="2">
        <v>32</v>
      </c>
      <c r="Q71" s="2" t="s">
        <v>25</v>
      </c>
      <c r="R71" s="2">
        <v>15</v>
      </c>
    </row>
    <row r="72" spans="1:18" x14ac:dyDescent="0.3">
      <c r="A72" s="2" t="s">
        <v>116</v>
      </c>
      <c r="B72" s="2" t="s">
        <v>260</v>
      </c>
      <c r="C72" s="2">
        <v>33</v>
      </c>
      <c r="D72" s="2" t="s">
        <v>34</v>
      </c>
      <c r="E72" s="2" t="s">
        <v>54</v>
      </c>
      <c r="F72" s="2" t="s">
        <v>46</v>
      </c>
      <c r="G72" s="2" t="s">
        <v>47</v>
      </c>
      <c r="H72" s="3">
        <v>45517</v>
      </c>
      <c r="I72" s="3">
        <v>45560</v>
      </c>
      <c r="J72" s="2">
        <v>5000</v>
      </c>
      <c r="K72" s="2">
        <v>500</v>
      </c>
      <c r="L72" s="2">
        <v>4500</v>
      </c>
      <c r="M72" s="2" t="s">
        <v>24</v>
      </c>
      <c r="N72" s="2" t="s">
        <v>25</v>
      </c>
      <c r="O72" s="2">
        <v>7</v>
      </c>
      <c r="P72" s="2">
        <v>36</v>
      </c>
      <c r="Q72" s="2" t="s">
        <v>25</v>
      </c>
      <c r="R72" s="2">
        <v>19</v>
      </c>
    </row>
    <row r="73" spans="1:18" x14ac:dyDescent="0.3">
      <c r="A73" s="2" t="s">
        <v>134</v>
      </c>
      <c r="B73" s="2" t="s">
        <v>273</v>
      </c>
      <c r="C73" s="2">
        <v>31</v>
      </c>
      <c r="D73" s="2" t="s">
        <v>90</v>
      </c>
      <c r="E73" s="2" t="s">
        <v>35</v>
      </c>
      <c r="F73" s="2" t="s">
        <v>66</v>
      </c>
      <c r="G73" s="2" t="s">
        <v>37</v>
      </c>
      <c r="H73" s="3">
        <v>45609</v>
      </c>
      <c r="I73" s="3">
        <v>44986</v>
      </c>
      <c r="J73" s="2">
        <v>7000</v>
      </c>
      <c r="K73" s="2">
        <v>500</v>
      </c>
      <c r="L73" s="2">
        <v>6500</v>
      </c>
      <c r="M73" s="2" t="s">
        <v>24</v>
      </c>
      <c r="N73" s="2" t="s">
        <v>52</v>
      </c>
      <c r="O73" s="2">
        <v>0</v>
      </c>
      <c r="P73" s="2">
        <v>42</v>
      </c>
      <c r="Q73" s="2" t="s">
        <v>25</v>
      </c>
      <c r="R73" s="2">
        <v>0</v>
      </c>
    </row>
    <row r="74" spans="1:18" x14ac:dyDescent="0.3">
      <c r="A74" s="2" t="s">
        <v>204</v>
      </c>
      <c r="B74" s="2" t="s">
        <v>334</v>
      </c>
      <c r="C74" s="2">
        <v>30</v>
      </c>
      <c r="D74" s="2" t="s">
        <v>34</v>
      </c>
      <c r="E74" s="2" t="s">
        <v>91</v>
      </c>
      <c r="F74" s="2" t="s">
        <v>30</v>
      </c>
      <c r="G74" s="2" t="s">
        <v>23</v>
      </c>
      <c r="H74" s="3">
        <v>45626</v>
      </c>
      <c r="I74" s="3">
        <v>45736</v>
      </c>
      <c r="J74" s="2">
        <v>4000</v>
      </c>
      <c r="K74" s="2">
        <v>0</v>
      </c>
      <c r="L74" s="2">
        <v>4000</v>
      </c>
      <c r="M74" s="2" t="s">
        <v>42</v>
      </c>
      <c r="N74" s="2" t="s">
        <v>71</v>
      </c>
      <c r="O74" s="2">
        <v>3</v>
      </c>
      <c r="P74" s="2">
        <v>48</v>
      </c>
      <c r="Q74" s="2" t="s">
        <v>25</v>
      </c>
      <c r="R74" s="2">
        <v>59</v>
      </c>
    </row>
    <row r="75" spans="1:18" x14ac:dyDescent="0.3">
      <c r="A75" s="2" t="s">
        <v>222</v>
      </c>
      <c r="B75" s="2" t="s">
        <v>352</v>
      </c>
      <c r="C75" s="2">
        <v>28</v>
      </c>
      <c r="D75" s="2" t="s">
        <v>90</v>
      </c>
      <c r="E75" s="2" t="s">
        <v>146</v>
      </c>
      <c r="F75" s="2" t="s">
        <v>36</v>
      </c>
      <c r="G75" s="2" t="s">
        <v>37</v>
      </c>
      <c r="H75" s="3">
        <v>45456</v>
      </c>
      <c r="I75" s="3">
        <v>45533</v>
      </c>
      <c r="J75" s="2">
        <v>6000</v>
      </c>
      <c r="K75" s="2">
        <v>1000</v>
      </c>
      <c r="L75" s="2">
        <v>5000</v>
      </c>
      <c r="M75" s="2" t="s">
        <v>24</v>
      </c>
      <c r="N75" s="2" t="s">
        <v>52</v>
      </c>
      <c r="O75" s="2">
        <v>5</v>
      </c>
      <c r="P75" s="2">
        <v>44</v>
      </c>
      <c r="Q75" s="2" t="s">
        <v>52</v>
      </c>
      <c r="R75" s="2">
        <v>0</v>
      </c>
    </row>
    <row r="76" spans="1:18" x14ac:dyDescent="0.3">
      <c r="A76" s="2" t="s">
        <v>147</v>
      </c>
      <c r="B76" s="2" t="s">
        <v>282</v>
      </c>
      <c r="C76" s="2">
        <v>18</v>
      </c>
      <c r="D76" s="2" t="s">
        <v>20</v>
      </c>
      <c r="E76" s="2" t="s">
        <v>59</v>
      </c>
      <c r="F76" s="2" t="s">
        <v>78</v>
      </c>
      <c r="G76" s="2" t="s">
        <v>79</v>
      </c>
      <c r="H76" s="3">
        <v>45300</v>
      </c>
      <c r="I76" s="3">
        <v>45322</v>
      </c>
      <c r="J76" s="2">
        <v>4000</v>
      </c>
      <c r="K76" s="2">
        <v>500</v>
      </c>
      <c r="L76" s="2">
        <v>3500</v>
      </c>
      <c r="M76" s="2" t="s">
        <v>42</v>
      </c>
      <c r="N76" s="2" t="s">
        <v>25</v>
      </c>
      <c r="O76" s="2">
        <v>0</v>
      </c>
      <c r="P76" s="2">
        <v>49</v>
      </c>
      <c r="Q76" s="2" t="s">
        <v>31</v>
      </c>
      <c r="R76" s="2">
        <v>32</v>
      </c>
    </row>
    <row r="77" spans="1:18" x14ac:dyDescent="0.3">
      <c r="A77" s="2" t="s">
        <v>94</v>
      </c>
      <c r="B77" s="2" t="s">
        <v>68</v>
      </c>
      <c r="C77" s="2">
        <v>28</v>
      </c>
      <c r="D77" s="2" t="s">
        <v>62</v>
      </c>
      <c r="E77" s="2" t="s">
        <v>29</v>
      </c>
      <c r="F77" s="2" t="s">
        <v>95</v>
      </c>
      <c r="G77" s="2" t="s">
        <v>37</v>
      </c>
      <c r="H77" s="3">
        <v>45367</v>
      </c>
      <c r="I77" s="3">
        <v>45370</v>
      </c>
      <c r="J77" s="2">
        <v>6000</v>
      </c>
      <c r="K77" s="2">
        <v>0</v>
      </c>
      <c r="L77" s="2">
        <v>6000</v>
      </c>
      <c r="M77" s="2" t="s">
        <v>42</v>
      </c>
      <c r="N77" s="2" t="s">
        <v>25</v>
      </c>
      <c r="O77" s="2">
        <v>7</v>
      </c>
      <c r="P77" s="2">
        <v>36</v>
      </c>
      <c r="Q77" s="2" t="s">
        <v>48</v>
      </c>
      <c r="R77" s="2">
        <v>0</v>
      </c>
    </row>
    <row r="78" spans="1:18" x14ac:dyDescent="0.3">
      <c r="A78" s="2" t="s">
        <v>164</v>
      </c>
      <c r="B78" s="2" t="s">
        <v>296</v>
      </c>
      <c r="C78" s="2">
        <v>34</v>
      </c>
      <c r="D78" s="2" t="s">
        <v>34</v>
      </c>
      <c r="E78" s="2" t="s">
        <v>113</v>
      </c>
      <c r="F78" s="2" t="s">
        <v>66</v>
      </c>
      <c r="G78" s="2" t="s">
        <v>37</v>
      </c>
      <c r="H78" s="3">
        <v>45501</v>
      </c>
      <c r="I78" s="3">
        <v>45393</v>
      </c>
      <c r="J78" s="2">
        <v>6000</v>
      </c>
      <c r="K78" s="2">
        <v>1000</v>
      </c>
      <c r="L78" s="2">
        <v>5000</v>
      </c>
      <c r="M78" s="2" t="s">
        <v>24</v>
      </c>
      <c r="N78" s="2" t="s">
        <v>31</v>
      </c>
      <c r="O78" s="2">
        <v>9</v>
      </c>
      <c r="P78" s="2">
        <v>24</v>
      </c>
      <c r="Q78" s="2" t="s">
        <v>31</v>
      </c>
      <c r="R78" s="2">
        <v>84</v>
      </c>
    </row>
    <row r="79" spans="1:18" x14ac:dyDescent="0.3">
      <c r="A79" s="2" t="s">
        <v>219</v>
      </c>
      <c r="B79" s="2" t="s">
        <v>349</v>
      </c>
      <c r="C79" s="2">
        <v>28</v>
      </c>
      <c r="D79" s="2" t="s">
        <v>50</v>
      </c>
      <c r="E79" s="2" t="s">
        <v>130</v>
      </c>
      <c r="F79" s="2" t="s">
        <v>46</v>
      </c>
      <c r="G79" s="2" t="s">
        <v>47</v>
      </c>
      <c r="H79" s="3">
        <v>45476</v>
      </c>
      <c r="I79" s="3">
        <v>45514</v>
      </c>
      <c r="J79" s="2">
        <v>4000</v>
      </c>
      <c r="K79" s="2">
        <v>0</v>
      </c>
      <c r="L79" s="2">
        <v>4000</v>
      </c>
      <c r="M79" s="2" t="s">
        <v>24</v>
      </c>
      <c r="N79" s="2" t="s">
        <v>52</v>
      </c>
      <c r="O79" s="2">
        <v>9</v>
      </c>
      <c r="P79" s="2">
        <v>32</v>
      </c>
      <c r="Q79" s="2" t="s">
        <v>52</v>
      </c>
      <c r="R79" s="2">
        <v>6</v>
      </c>
    </row>
    <row r="80" spans="1:18" x14ac:dyDescent="0.3">
      <c r="A80" s="2" t="s">
        <v>101</v>
      </c>
      <c r="B80" s="2" t="s">
        <v>27</v>
      </c>
      <c r="C80" s="2">
        <v>30</v>
      </c>
      <c r="D80" s="2" t="s">
        <v>34</v>
      </c>
      <c r="E80" s="2" t="s">
        <v>54</v>
      </c>
      <c r="F80" s="2" t="s">
        <v>66</v>
      </c>
      <c r="G80" s="2" t="s">
        <v>37</v>
      </c>
      <c r="H80" s="3">
        <v>45567</v>
      </c>
      <c r="I80" s="3">
        <v>45662</v>
      </c>
      <c r="J80" s="2">
        <v>6000</v>
      </c>
      <c r="K80" s="2">
        <v>500</v>
      </c>
      <c r="L80" s="2">
        <v>5500</v>
      </c>
      <c r="M80" s="2" t="s">
        <v>24</v>
      </c>
      <c r="N80" s="2" t="s">
        <v>52</v>
      </c>
      <c r="O80" s="2">
        <v>0</v>
      </c>
      <c r="P80" s="2">
        <v>21</v>
      </c>
      <c r="Q80" s="2" t="s">
        <v>52</v>
      </c>
      <c r="R80" s="2">
        <v>0</v>
      </c>
    </row>
    <row r="81" spans="1:18" x14ac:dyDescent="0.3">
      <c r="A81" s="2" t="s">
        <v>114</v>
      </c>
      <c r="B81" s="2" t="s">
        <v>258</v>
      </c>
      <c r="C81" s="2">
        <v>20</v>
      </c>
      <c r="D81" s="2" t="s">
        <v>34</v>
      </c>
      <c r="E81" s="2" t="s">
        <v>76</v>
      </c>
      <c r="F81" s="2" t="s">
        <v>78</v>
      </c>
      <c r="G81" s="2" t="s">
        <v>79</v>
      </c>
      <c r="H81" s="3">
        <v>45534</v>
      </c>
      <c r="I81" s="3">
        <v>45604</v>
      </c>
      <c r="J81" s="2">
        <v>6000</v>
      </c>
      <c r="K81" s="2">
        <v>0</v>
      </c>
      <c r="L81" s="2">
        <v>6000</v>
      </c>
      <c r="M81" s="2" t="s">
        <v>24</v>
      </c>
      <c r="N81" s="2" t="s">
        <v>31</v>
      </c>
      <c r="O81" s="2">
        <v>0</v>
      </c>
      <c r="P81" s="2">
        <v>16</v>
      </c>
      <c r="Q81" s="2" t="s">
        <v>48</v>
      </c>
      <c r="R81" s="2">
        <v>0</v>
      </c>
    </row>
    <row r="82" spans="1:18" x14ac:dyDescent="0.3">
      <c r="A82" s="2" t="s">
        <v>238</v>
      </c>
      <c r="B82" s="2" t="s">
        <v>368</v>
      </c>
      <c r="C82" s="2">
        <v>29</v>
      </c>
      <c r="D82" s="2" t="s">
        <v>90</v>
      </c>
      <c r="E82" s="2" t="s">
        <v>41</v>
      </c>
      <c r="F82" s="2" t="s">
        <v>95</v>
      </c>
      <c r="G82" s="2" t="s">
        <v>37</v>
      </c>
      <c r="H82" s="3">
        <v>45481</v>
      </c>
      <c r="I82" s="3">
        <v>45594</v>
      </c>
      <c r="J82" s="2">
        <v>3000</v>
      </c>
      <c r="K82" s="2">
        <v>500</v>
      </c>
      <c r="L82" s="2">
        <v>2500</v>
      </c>
      <c r="M82" s="2" t="s">
        <v>42</v>
      </c>
      <c r="N82" s="2" t="s">
        <v>25</v>
      </c>
      <c r="O82" s="2">
        <v>3</v>
      </c>
      <c r="P82" s="2">
        <v>33</v>
      </c>
      <c r="Q82" s="2" t="s">
        <v>52</v>
      </c>
      <c r="R82" s="2">
        <v>1</v>
      </c>
    </row>
    <row r="83" spans="1:18" x14ac:dyDescent="0.3">
      <c r="A83" s="2" t="s">
        <v>136</v>
      </c>
      <c r="B83" s="2" t="s">
        <v>275</v>
      </c>
      <c r="C83" s="2">
        <v>30</v>
      </c>
      <c r="D83" s="2" t="s">
        <v>34</v>
      </c>
      <c r="E83" s="2" t="s">
        <v>105</v>
      </c>
      <c r="F83" s="2" t="s">
        <v>88</v>
      </c>
      <c r="G83" s="2" t="s">
        <v>37</v>
      </c>
      <c r="H83" s="3">
        <v>45602</v>
      </c>
      <c r="I83" s="3">
        <v>45697</v>
      </c>
      <c r="J83" s="2">
        <v>6000</v>
      </c>
      <c r="K83" s="2">
        <v>500</v>
      </c>
      <c r="L83" s="2">
        <v>5500</v>
      </c>
      <c r="M83" s="2" t="s">
        <v>42</v>
      </c>
      <c r="N83" s="2" t="s">
        <v>31</v>
      </c>
      <c r="O83" s="2">
        <v>4</v>
      </c>
      <c r="P83" s="2">
        <v>16</v>
      </c>
      <c r="Q83" s="2" t="s">
        <v>48</v>
      </c>
      <c r="R83" s="2">
        <v>12</v>
      </c>
    </row>
    <row r="84" spans="1:18" x14ac:dyDescent="0.3">
      <c r="A84" s="2" t="s">
        <v>125</v>
      </c>
      <c r="B84" s="2" t="s">
        <v>267</v>
      </c>
      <c r="C84" s="2">
        <v>24</v>
      </c>
      <c r="D84" s="2" t="s">
        <v>28</v>
      </c>
      <c r="E84" s="2" t="s">
        <v>126</v>
      </c>
      <c r="F84" s="2" t="s">
        <v>46</v>
      </c>
      <c r="G84" s="2" t="s">
        <v>47</v>
      </c>
      <c r="H84" s="3">
        <v>45649</v>
      </c>
      <c r="I84" s="3">
        <v>45711</v>
      </c>
      <c r="J84" s="2">
        <v>5000</v>
      </c>
      <c r="K84" s="2">
        <v>0</v>
      </c>
      <c r="L84" s="2">
        <v>5000</v>
      </c>
      <c r="M84" s="2" t="s">
        <v>42</v>
      </c>
      <c r="N84" s="2" t="s">
        <v>48</v>
      </c>
      <c r="O84" s="2">
        <v>5</v>
      </c>
      <c r="P84" s="2">
        <v>0</v>
      </c>
      <c r="Q84" s="2" t="s">
        <v>48</v>
      </c>
      <c r="R84" s="2">
        <v>26</v>
      </c>
    </row>
    <row r="85" spans="1:18" x14ac:dyDescent="0.3">
      <c r="A85" s="2" t="s">
        <v>210</v>
      </c>
      <c r="B85" s="2" t="s">
        <v>340</v>
      </c>
      <c r="C85" s="2">
        <v>24</v>
      </c>
      <c r="D85" s="2" t="s">
        <v>34</v>
      </c>
      <c r="E85" s="2" t="s">
        <v>113</v>
      </c>
      <c r="F85" s="2" t="s">
        <v>66</v>
      </c>
      <c r="G85" s="2" t="s">
        <v>37</v>
      </c>
      <c r="H85" s="3">
        <v>45530</v>
      </c>
      <c r="I85" s="3">
        <v>45598</v>
      </c>
      <c r="J85" s="2">
        <v>5000</v>
      </c>
      <c r="K85" s="2">
        <v>1000</v>
      </c>
      <c r="L85" s="2">
        <v>4000</v>
      </c>
      <c r="M85" s="2" t="s">
        <v>24</v>
      </c>
      <c r="N85" s="2" t="s">
        <v>71</v>
      </c>
      <c r="O85" s="2">
        <v>8</v>
      </c>
      <c r="P85" s="2">
        <v>46</v>
      </c>
      <c r="Q85" s="2" t="s">
        <v>52</v>
      </c>
      <c r="R85" s="2">
        <v>48</v>
      </c>
    </row>
    <row r="86" spans="1:18" x14ac:dyDescent="0.3">
      <c r="A86" s="2" t="s">
        <v>152</v>
      </c>
      <c r="B86" s="2" t="s">
        <v>286</v>
      </c>
      <c r="C86" s="2">
        <v>35</v>
      </c>
      <c r="D86" s="2" t="s">
        <v>90</v>
      </c>
      <c r="E86" s="2" t="s">
        <v>57</v>
      </c>
      <c r="F86" s="2" t="s">
        <v>78</v>
      </c>
      <c r="G86" s="2" t="s">
        <v>79</v>
      </c>
      <c r="H86" s="3">
        <v>45632</v>
      </c>
      <c r="I86" s="3">
        <v>45781</v>
      </c>
      <c r="J86" s="2">
        <v>5000</v>
      </c>
      <c r="K86" s="2">
        <v>0</v>
      </c>
      <c r="L86" s="2">
        <v>5000</v>
      </c>
      <c r="M86" s="2" t="s">
        <v>24</v>
      </c>
      <c r="N86" s="2" t="s">
        <v>31</v>
      </c>
      <c r="O86" s="2">
        <v>10</v>
      </c>
      <c r="P86" s="2">
        <v>13</v>
      </c>
      <c r="Q86" s="2" t="s">
        <v>48</v>
      </c>
      <c r="R86" s="2">
        <v>42</v>
      </c>
    </row>
    <row r="87" spans="1:18" x14ac:dyDescent="0.3">
      <c r="A87" s="2" t="s">
        <v>214</v>
      </c>
      <c r="B87" s="2" t="s">
        <v>344</v>
      </c>
      <c r="C87" s="2">
        <v>34</v>
      </c>
      <c r="D87" s="2" t="s">
        <v>90</v>
      </c>
      <c r="E87" s="2" t="s">
        <v>172</v>
      </c>
      <c r="F87" s="2" t="s">
        <v>30</v>
      </c>
      <c r="G87" s="2" t="s">
        <v>23</v>
      </c>
      <c r="H87" s="3">
        <v>45415</v>
      </c>
      <c r="I87" s="3">
        <v>45439</v>
      </c>
      <c r="J87" s="2">
        <v>6000</v>
      </c>
      <c r="K87" s="2">
        <v>1000</v>
      </c>
      <c r="L87" s="2">
        <v>5000</v>
      </c>
      <c r="M87" s="2" t="s">
        <v>24</v>
      </c>
      <c r="N87" s="2" t="s">
        <v>52</v>
      </c>
      <c r="O87" s="2">
        <v>0</v>
      </c>
      <c r="P87" s="2">
        <v>29</v>
      </c>
      <c r="Q87" s="2" t="s">
        <v>48</v>
      </c>
      <c r="R87" s="2">
        <v>15</v>
      </c>
    </row>
    <row r="88" spans="1:18" x14ac:dyDescent="0.3">
      <c r="A88" s="2" t="s">
        <v>162</v>
      </c>
      <c r="B88" s="2" t="s">
        <v>294</v>
      </c>
      <c r="C88" s="2">
        <v>20</v>
      </c>
      <c r="D88" s="2" t="s">
        <v>34</v>
      </c>
      <c r="E88" s="2" t="s">
        <v>54</v>
      </c>
      <c r="F88" s="2" t="s">
        <v>88</v>
      </c>
      <c r="G88" s="2" t="s">
        <v>37</v>
      </c>
      <c r="H88" s="3">
        <v>45472</v>
      </c>
      <c r="I88" s="3">
        <v>45536</v>
      </c>
      <c r="J88" s="2">
        <v>6000</v>
      </c>
      <c r="K88" s="2">
        <v>500</v>
      </c>
      <c r="L88" s="2">
        <v>5500</v>
      </c>
      <c r="M88" s="2" t="s">
        <v>24</v>
      </c>
      <c r="N88" s="2" t="s">
        <v>25</v>
      </c>
      <c r="O88" s="2">
        <v>6</v>
      </c>
      <c r="P88" s="2">
        <v>41</v>
      </c>
      <c r="Q88" s="2" t="s">
        <v>25</v>
      </c>
      <c r="R88" s="2">
        <v>76</v>
      </c>
    </row>
    <row r="89" spans="1:18" x14ac:dyDescent="0.3">
      <c r="A89" s="2" t="s">
        <v>185</v>
      </c>
      <c r="B89" s="2" t="s">
        <v>315</v>
      </c>
      <c r="C89" s="2">
        <v>28</v>
      </c>
      <c r="D89" s="2" t="s">
        <v>34</v>
      </c>
      <c r="E89" s="2" t="s">
        <v>107</v>
      </c>
      <c r="F89" s="2" t="s">
        <v>36</v>
      </c>
      <c r="G89" s="2" t="s">
        <v>37</v>
      </c>
      <c r="H89" s="3">
        <v>45625</v>
      </c>
      <c r="I89" s="3">
        <v>44986</v>
      </c>
      <c r="J89" s="2">
        <v>7000</v>
      </c>
      <c r="K89" s="2">
        <v>0</v>
      </c>
      <c r="L89" s="2">
        <v>7000</v>
      </c>
      <c r="M89" s="2" t="s">
        <v>42</v>
      </c>
      <c r="N89" s="2" t="s">
        <v>38</v>
      </c>
      <c r="O89" s="2">
        <v>5</v>
      </c>
      <c r="P89" s="2">
        <v>19</v>
      </c>
      <c r="Q89" s="2" t="s">
        <v>52</v>
      </c>
      <c r="R89" s="2">
        <v>0</v>
      </c>
    </row>
    <row r="90" spans="1:18" x14ac:dyDescent="0.3">
      <c r="A90" s="2" t="s">
        <v>174</v>
      </c>
      <c r="B90" s="2" t="s">
        <v>305</v>
      </c>
      <c r="C90" s="2">
        <v>29</v>
      </c>
      <c r="D90" s="2" t="s">
        <v>90</v>
      </c>
      <c r="E90" s="2" t="s">
        <v>57</v>
      </c>
      <c r="F90" s="2" t="s">
        <v>95</v>
      </c>
      <c r="G90" s="2" t="s">
        <v>37</v>
      </c>
      <c r="H90" s="3">
        <v>45334</v>
      </c>
      <c r="I90" s="3">
        <v>45708</v>
      </c>
      <c r="J90" s="2">
        <v>4000</v>
      </c>
      <c r="K90" s="2">
        <v>0</v>
      </c>
      <c r="L90" s="2">
        <v>4000</v>
      </c>
      <c r="M90" s="2" t="s">
        <v>24</v>
      </c>
      <c r="N90" s="2" t="s">
        <v>71</v>
      </c>
      <c r="O90" s="2">
        <v>3</v>
      </c>
      <c r="P90" s="2">
        <v>29</v>
      </c>
      <c r="Q90" s="2" t="s">
        <v>52</v>
      </c>
      <c r="R90" s="2">
        <v>40</v>
      </c>
    </row>
    <row r="91" spans="1:18" x14ac:dyDescent="0.3">
      <c r="A91" s="2" t="s">
        <v>144</v>
      </c>
      <c r="B91" s="2" t="s">
        <v>280</v>
      </c>
      <c r="C91" s="2">
        <v>32</v>
      </c>
      <c r="D91" s="2" t="s">
        <v>34</v>
      </c>
      <c r="E91" s="2" t="s">
        <v>35</v>
      </c>
      <c r="F91" s="2" t="s">
        <v>78</v>
      </c>
      <c r="G91" s="2" t="s">
        <v>79</v>
      </c>
      <c r="H91" s="3">
        <v>45570</v>
      </c>
      <c r="I91" s="3">
        <v>45685</v>
      </c>
      <c r="J91" s="2">
        <v>3000</v>
      </c>
      <c r="K91" s="2">
        <v>500</v>
      </c>
      <c r="L91" s="2">
        <v>2500</v>
      </c>
      <c r="M91" s="2" t="s">
        <v>24</v>
      </c>
      <c r="N91" s="2" t="s">
        <v>48</v>
      </c>
      <c r="O91" s="2">
        <v>2</v>
      </c>
      <c r="P91" s="2">
        <v>42</v>
      </c>
      <c r="Q91" s="2" t="s">
        <v>48</v>
      </c>
      <c r="R91" s="2">
        <v>81</v>
      </c>
    </row>
    <row r="92" spans="1:18" x14ac:dyDescent="0.3">
      <c r="A92" s="2" t="s">
        <v>199</v>
      </c>
      <c r="B92" s="2" t="s">
        <v>329</v>
      </c>
      <c r="C92" s="2">
        <v>27</v>
      </c>
      <c r="D92" s="2" t="s">
        <v>90</v>
      </c>
      <c r="E92" s="2" t="s">
        <v>65</v>
      </c>
      <c r="F92" s="2" t="s">
        <v>78</v>
      </c>
      <c r="G92" s="2" t="s">
        <v>79</v>
      </c>
      <c r="H92" s="3">
        <v>45336</v>
      </c>
      <c r="I92" s="3">
        <v>45416</v>
      </c>
      <c r="J92" s="2">
        <v>4000</v>
      </c>
      <c r="K92" s="2">
        <v>500</v>
      </c>
      <c r="L92" s="2">
        <v>3500</v>
      </c>
      <c r="M92" s="2" t="s">
        <v>42</v>
      </c>
      <c r="N92" s="2" t="s">
        <v>31</v>
      </c>
      <c r="O92" s="2">
        <v>0</v>
      </c>
      <c r="P92" s="2">
        <v>24</v>
      </c>
      <c r="Q92" s="2" t="s">
        <v>48</v>
      </c>
      <c r="R92" s="2">
        <v>0</v>
      </c>
    </row>
    <row r="93" spans="1:18" x14ac:dyDescent="0.3">
      <c r="A93" s="2" t="s">
        <v>109</v>
      </c>
      <c r="B93" s="2" t="s">
        <v>255</v>
      </c>
      <c r="C93" s="2">
        <v>19</v>
      </c>
      <c r="D93" s="2" t="s">
        <v>34</v>
      </c>
      <c r="E93" s="2" t="s">
        <v>83</v>
      </c>
      <c r="F93" s="2" t="s">
        <v>78</v>
      </c>
      <c r="G93" s="2" t="s">
        <v>79</v>
      </c>
      <c r="H93" s="3">
        <v>45327</v>
      </c>
      <c r="I93" s="3">
        <v>45391</v>
      </c>
      <c r="J93" s="2">
        <v>3000</v>
      </c>
      <c r="K93" s="2">
        <v>500</v>
      </c>
      <c r="L93" s="2">
        <v>2500</v>
      </c>
      <c r="M93" s="2" t="s">
        <v>42</v>
      </c>
      <c r="N93" s="2" t="s">
        <v>52</v>
      </c>
      <c r="O93" s="2">
        <v>0</v>
      </c>
      <c r="P93" s="2">
        <v>40</v>
      </c>
      <c r="Q93" s="2" t="s">
        <v>52</v>
      </c>
      <c r="R93" s="2">
        <v>0</v>
      </c>
    </row>
    <row r="94" spans="1:18" x14ac:dyDescent="0.3">
      <c r="A94" s="2" t="s">
        <v>201</v>
      </c>
      <c r="B94" s="2" t="s">
        <v>331</v>
      </c>
      <c r="C94" s="2">
        <v>29</v>
      </c>
      <c r="D94" s="2" t="s">
        <v>90</v>
      </c>
      <c r="E94" s="2" t="s">
        <v>149</v>
      </c>
      <c r="F94" s="2" t="s">
        <v>95</v>
      </c>
      <c r="G94" s="2" t="s">
        <v>37</v>
      </c>
      <c r="H94" s="3">
        <v>45418</v>
      </c>
      <c r="I94" s="3">
        <v>45299</v>
      </c>
      <c r="J94" s="2">
        <v>7000</v>
      </c>
      <c r="K94" s="2">
        <v>500</v>
      </c>
      <c r="L94" s="2">
        <v>6500</v>
      </c>
      <c r="M94" s="2" t="s">
        <v>42</v>
      </c>
      <c r="N94" s="2" t="s">
        <v>38</v>
      </c>
      <c r="O94" s="2">
        <v>2</v>
      </c>
      <c r="P94" s="2">
        <v>7</v>
      </c>
      <c r="Q94" s="2" t="s">
        <v>25</v>
      </c>
      <c r="R94" s="2">
        <v>70</v>
      </c>
    </row>
    <row r="95" spans="1:18" x14ac:dyDescent="0.3">
      <c r="A95" s="2" t="s">
        <v>140</v>
      </c>
      <c r="B95" s="2" t="s">
        <v>277</v>
      </c>
      <c r="C95" s="2">
        <v>27</v>
      </c>
      <c r="D95" s="2" t="s">
        <v>34</v>
      </c>
      <c r="E95" s="2" t="s">
        <v>141</v>
      </c>
      <c r="F95" s="2" t="s">
        <v>30</v>
      </c>
      <c r="G95" s="2" t="s">
        <v>23</v>
      </c>
      <c r="H95" s="3">
        <v>45407</v>
      </c>
      <c r="I95" s="3">
        <v>44986</v>
      </c>
      <c r="J95" s="2">
        <v>6000</v>
      </c>
      <c r="K95" s="2">
        <v>0</v>
      </c>
      <c r="L95" s="2">
        <v>6000</v>
      </c>
      <c r="M95" s="2" t="s">
        <v>24</v>
      </c>
      <c r="N95" s="2" t="s">
        <v>25</v>
      </c>
      <c r="O95" s="2">
        <v>0</v>
      </c>
      <c r="P95" s="2">
        <v>34</v>
      </c>
      <c r="Q95" s="2" t="s">
        <v>25</v>
      </c>
      <c r="R95" s="2">
        <v>47</v>
      </c>
    </row>
    <row r="96" spans="1:18" x14ac:dyDescent="0.3">
      <c r="A96" s="2" t="s">
        <v>179</v>
      </c>
      <c r="B96" s="2" t="s">
        <v>309</v>
      </c>
      <c r="C96" s="2">
        <v>29</v>
      </c>
      <c r="D96" s="2" t="s">
        <v>50</v>
      </c>
      <c r="E96" s="2" t="s">
        <v>21</v>
      </c>
      <c r="F96" s="2" t="s">
        <v>46</v>
      </c>
      <c r="G96" s="2" t="s">
        <v>47</v>
      </c>
      <c r="H96" s="3">
        <v>45309</v>
      </c>
      <c r="I96" s="3">
        <v>45325</v>
      </c>
      <c r="J96" s="2">
        <v>6000</v>
      </c>
      <c r="K96" s="2">
        <v>1000</v>
      </c>
      <c r="L96" s="2">
        <v>5000</v>
      </c>
      <c r="M96" s="2" t="s">
        <v>24</v>
      </c>
      <c r="N96" s="2" t="s">
        <v>52</v>
      </c>
      <c r="O96" s="2">
        <v>1</v>
      </c>
      <c r="P96" s="2">
        <v>9</v>
      </c>
      <c r="Q96" s="2" t="s">
        <v>52</v>
      </c>
      <c r="R96" s="2">
        <v>0</v>
      </c>
    </row>
    <row r="97" spans="1:18" x14ac:dyDescent="0.3">
      <c r="A97" s="2" t="s">
        <v>112</v>
      </c>
      <c r="B97" s="2" t="s">
        <v>257</v>
      </c>
      <c r="C97" s="2">
        <v>24</v>
      </c>
      <c r="D97" s="2" t="s">
        <v>34</v>
      </c>
      <c r="E97" s="2" t="s">
        <v>113</v>
      </c>
      <c r="F97" s="2" t="s">
        <v>36</v>
      </c>
      <c r="G97" s="2" t="s">
        <v>37</v>
      </c>
      <c r="H97" s="3">
        <v>45576</v>
      </c>
      <c r="I97" s="3">
        <v>45577</v>
      </c>
      <c r="J97" s="2">
        <v>3000</v>
      </c>
      <c r="K97" s="2">
        <v>500</v>
      </c>
      <c r="L97" s="2">
        <v>2500</v>
      </c>
      <c r="M97" s="2" t="s">
        <v>42</v>
      </c>
      <c r="N97" s="2" t="s">
        <v>52</v>
      </c>
      <c r="O97" s="2">
        <v>8</v>
      </c>
      <c r="P97" s="2">
        <v>44</v>
      </c>
      <c r="Q97" s="2" t="s">
        <v>52</v>
      </c>
      <c r="R97" s="2">
        <v>0</v>
      </c>
    </row>
    <row r="98" spans="1:18" x14ac:dyDescent="0.3">
      <c r="A98" s="2" t="s">
        <v>170</v>
      </c>
      <c r="B98" s="2" t="s">
        <v>302</v>
      </c>
      <c r="C98" s="2">
        <v>21</v>
      </c>
      <c r="D98" s="2" t="s">
        <v>34</v>
      </c>
      <c r="E98" s="2" t="s">
        <v>130</v>
      </c>
      <c r="F98" s="2" t="s">
        <v>46</v>
      </c>
      <c r="G98" s="2" t="s">
        <v>47</v>
      </c>
      <c r="H98" s="3">
        <v>45648</v>
      </c>
      <c r="I98" s="3">
        <v>44986</v>
      </c>
      <c r="J98" s="2">
        <v>6000</v>
      </c>
      <c r="K98" s="2">
        <v>0</v>
      </c>
      <c r="L98" s="2">
        <v>6000</v>
      </c>
      <c r="M98" s="2" t="s">
        <v>24</v>
      </c>
      <c r="N98" s="2" t="s">
        <v>25</v>
      </c>
      <c r="O98" s="2">
        <v>1</v>
      </c>
      <c r="P98" s="2">
        <v>9</v>
      </c>
      <c r="Q98" s="2" t="s">
        <v>48</v>
      </c>
      <c r="R98" s="2">
        <v>77</v>
      </c>
    </row>
    <row r="99" spans="1:18" x14ac:dyDescent="0.3">
      <c r="A99" s="2" t="s">
        <v>122</v>
      </c>
      <c r="B99" s="2" t="s">
        <v>264</v>
      </c>
      <c r="C99" s="2">
        <v>34</v>
      </c>
      <c r="D99" s="2" t="s">
        <v>90</v>
      </c>
      <c r="E99" s="2" t="s">
        <v>35</v>
      </c>
      <c r="F99" s="2" t="s">
        <v>88</v>
      </c>
      <c r="G99" s="2" t="s">
        <v>37</v>
      </c>
      <c r="H99" s="3">
        <v>45513</v>
      </c>
      <c r="I99" s="3">
        <v>45607</v>
      </c>
      <c r="J99" s="2">
        <v>3000</v>
      </c>
      <c r="K99" s="2">
        <v>0</v>
      </c>
      <c r="L99" s="2">
        <v>3000</v>
      </c>
      <c r="M99" s="2" t="s">
        <v>24</v>
      </c>
      <c r="N99" s="2" t="s">
        <v>38</v>
      </c>
      <c r="O99" s="2">
        <v>10</v>
      </c>
      <c r="P99" s="2">
        <v>48</v>
      </c>
      <c r="Q99" s="2" t="s">
        <v>31</v>
      </c>
      <c r="R99" s="2">
        <v>36</v>
      </c>
    </row>
    <row r="100" spans="1:18" x14ac:dyDescent="0.3">
      <c r="A100" s="2" t="s">
        <v>129</v>
      </c>
      <c r="B100" s="2" t="s">
        <v>270</v>
      </c>
      <c r="C100" s="2">
        <v>25</v>
      </c>
      <c r="D100" s="2" t="s">
        <v>90</v>
      </c>
      <c r="E100" s="2" t="s">
        <v>130</v>
      </c>
      <c r="F100" s="2" t="s">
        <v>46</v>
      </c>
      <c r="G100" s="2" t="s">
        <v>47</v>
      </c>
      <c r="H100" s="3">
        <v>45653</v>
      </c>
      <c r="I100" s="3">
        <v>44986</v>
      </c>
      <c r="J100" s="2">
        <v>5000</v>
      </c>
      <c r="K100" s="2">
        <v>500</v>
      </c>
      <c r="L100" s="2">
        <v>4500</v>
      </c>
      <c r="M100" s="2" t="s">
        <v>42</v>
      </c>
      <c r="N100" s="2" t="s">
        <v>25</v>
      </c>
      <c r="O100" s="2">
        <v>9</v>
      </c>
      <c r="P100" s="2">
        <v>21</v>
      </c>
      <c r="Q100" s="2" t="s">
        <v>25</v>
      </c>
      <c r="R100" s="2">
        <v>55</v>
      </c>
    </row>
    <row r="101" spans="1:18" x14ac:dyDescent="0.3">
      <c r="A101" s="2" t="s">
        <v>157</v>
      </c>
      <c r="B101" s="2" t="s">
        <v>290</v>
      </c>
      <c r="C101" s="2">
        <v>19</v>
      </c>
      <c r="D101" s="2" t="s">
        <v>90</v>
      </c>
      <c r="E101" s="2" t="s">
        <v>158</v>
      </c>
      <c r="F101" s="2" t="s">
        <v>36</v>
      </c>
      <c r="G101" s="2" t="s">
        <v>37</v>
      </c>
      <c r="H101" s="3">
        <v>45440</v>
      </c>
      <c r="I101" s="3">
        <v>45511</v>
      </c>
      <c r="J101" s="2">
        <v>6000</v>
      </c>
      <c r="K101" s="2">
        <v>500</v>
      </c>
      <c r="L101" s="2">
        <v>5500</v>
      </c>
      <c r="M101" s="2" t="s">
        <v>24</v>
      </c>
      <c r="N101" s="2" t="s">
        <v>48</v>
      </c>
      <c r="O101" s="2">
        <v>9</v>
      </c>
      <c r="P101" s="2">
        <v>14</v>
      </c>
      <c r="Q101" s="2" t="s">
        <v>48</v>
      </c>
      <c r="R101" s="2">
        <v>0</v>
      </c>
    </row>
    <row r="102" spans="1:18" x14ac:dyDescent="0.3">
      <c r="A102" s="2" t="s">
        <v>223</v>
      </c>
      <c r="B102" s="2" t="s">
        <v>353</v>
      </c>
      <c r="C102" s="2">
        <v>30</v>
      </c>
      <c r="D102" s="2" t="s">
        <v>50</v>
      </c>
      <c r="E102" s="2" t="s">
        <v>146</v>
      </c>
      <c r="F102" s="2" t="s">
        <v>30</v>
      </c>
      <c r="G102" s="2" t="s">
        <v>23</v>
      </c>
      <c r="H102" s="3">
        <v>45641</v>
      </c>
      <c r="I102" s="3">
        <v>45739</v>
      </c>
      <c r="J102" s="2">
        <v>5000</v>
      </c>
      <c r="K102" s="2">
        <v>500</v>
      </c>
      <c r="L102" s="2">
        <v>4500</v>
      </c>
      <c r="M102" s="2" t="s">
        <v>42</v>
      </c>
      <c r="N102" s="2" t="s">
        <v>48</v>
      </c>
      <c r="O102" s="2">
        <v>5</v>
      </c>
      <c r="P102" s="2">
        <v>4</v>
      </c>
      <c r="Q102" s="2" t="s">
        <v>52</v>
      </c>
      <c r="R102" s="2">
        <v>43</v>
      </c>
    </row>
    <row r="103" spans="1:18" x14ac:dyDescent="0.3">
      <c r="A103" s="2" t="s">
        <v>215</v>
      </c>
      <c r="B103" s="2" t="s">
        <v>345</v>
      </c>
      <c r="C103" s="2">
        <v>20</v>
      </c>
      <c r="D103" s="2" t="s">
        <v>90</v>
      </c>
      <c r="E103" s="2" t="s">
        <v>65</v>
      </c>
      <c r="F103" s="2" t="s">
        <v>46</v>
      </c>
      <c r="G103" s="2" t="s">
        <v>47</v>
      </c>
      <c r="H103" s="3">
        <v>45320</v>
      </c>
      <c r="I103" s="3">
        <v>45401</v>
      </c>
      <c r="J103" s="2">
        <v>3000</v>
      </c>
      <c r="K103" s="2">
        <v>500</v>
      </c>
      <c r="L103" s="2">
        <v>2500</v>
      </c>
      <c r="M103" s="2" t="s">
        <v>42</v>
      </c>
      <c r="N103" s="2" t="s">
        <v>52</v>
      </c>
      <c r="O103" s="2">
        <v>6</v>
      </c>
      <c r="P103" s="2">
        <v>33</v>
      </c>
      <c r="Q103" s="2" t="s">
        <v>25</v>
      </c>
      <c r="R103" s="2">
        <v>27</v>
      </c>
    </row>
    <row r="104" spans="1:18" x14ac:dyDescent="0.3">
      <c r="A104" s="2" t="s">
        <v>193</v>
      </c>
      <c r="B104" s="2" t="s">
        <v>323</v>
      </c>
      <c r="C104" s="2">
        <v>34</v>
      </c>
      <c r="D104" s="2" t="s">
        <v>62</v>
      </c>
      <c r="E104" s="2" t="s">
        <v>107</v>
      </c>
      <c r="F104" s="2" t="s">
        <v>30</v>
      </c>
      <c r="G104" s="2" t="s">
        <v>23</v>
      </c>
      <c r="H104" s="3">
        <v>45557</v>
      </c>
      <c r="I104" s="3">
        <v>45583</v>
      </c>
      <c r="J104" s="2">
        <v>5000</v>
      </c>
      <c r="K104" s="2">
        <v>500</v>
      </c>
      <c r="L104" s="2">
        <v>4500</v>
      </c>
      <c r="M104" s="2" t="s">
        <v>42</v>
      </c>
      <c r="N104" s="2" t="s">
        <v>52</v>
      </c>
      <c r="O104" s="2">
        <v>0</v>
      </c>
      <c r="P104" s="2">
        <v>34</v>
      </c>
      <c r="Q104" s="2" t="s">
        <v>31</v>
      </c>
      <c r="R104" s="2">
        <v>45</v>
      </c>
    </row>
    <row r="105" spans="1:18" x14ac:dyDescent="0.3">
      <c r="A105" s="2" t="s">
        <v>186</v>
      </c>
      <c r="B105" s="2" t="s">
        <v>316</v>
      </c>
      <c r="C105" s="2">
        <v>32</v>
      </c>
      <c r="D105" s="2" t="s">
        <v>20</v>
      </c>
      <c r="E105" s="2" t="s">
        <v>99</v>
      </c>
      <c r="F105" s="2" t="s">
        <v>46</v>
      </c>
      <c r="G105" s="2" t="s">
        <v>47</v>
      </c>
      <c r="H105" s="3">
        <v>45529</v>
      </c>
      <c r="I105" s="3">
        <v>45555</v>
      </c>
      <c r="J105" s="2">
        <v>5000</v>
      </c>
      <c r="K105" s="2">
        <v>1000</v>
      </c>
      <c r="L105" s="2">
        <v>4000</v>
      </c>
      <c r="M105" s="2" t="s">
        <v>42</v>
      </c>
      <c r="N105" s="2" t="s">
        <v>31</v>
      </c>
      <c r="O105" s="2">
        <v>0</v>
      </c>
      <c r="P105" s="2">
        <v>32</v>
      </c>
      <c r="Q105" s="2" t="s">
        <v>48</v>
      </c>
      <c r="R105" s="2">
        <v>6</v>
      </c>
    </row>
    <row r="106" spans="1:18" x14ac:dyDescent="0.3">
      <c r="A106" s="2" t="s">
        <v>53</v>
      </c>
      <c r="B106" s="2" t="s">
        <v>82</v>
      </c>
      <c r="C106" s="2">
        <v>26</v>
      </c>
      <c r="D106" s="2" t="s">
        <v>50</v>
      </c>
      <c r="E106" s="2" t="s">
        <v>54</v>
      </c>
      <c r="F106" s="2" t="s">
        <v>30</v>
      </c>
      <c r="G106" s="2" t="s">
        <v>23</v>
      </c>
      <c r="H106" s="3">
        <v>45524</v>
      </c>
      <c r="I106" s="3">
        <v>45524</v>
      </c>
      <c r="J106" s="2">
        <v>7000</v>
      </c>
      <c r="K106" s="2">
        <v>500</v>
      </c>
      <c r="L106" s="2">
        <v>6500</v>
      </c>
      <c r="M106" s="2" t="s">
        <v>42</v>
      </c>
      <c r="N106" s="2" t="s">
        <v>25</v>
      </c>
      <c r="O106" s="2">
        <v>9</v>
      </c>
      <c r="P106" s="2">
        <v>12</v>
      </c>
      <c r="Q106" s="2" t="s">
        <v>48</v>
      </c>
      <c r="R106" s="2">
        <v>20</v>
      </c>
    </row>
    <row r="107" spans="1:18" x14ac:dyDescent="0.3">
      <c r="A107" s="2" t="s">
        <v>119</v>
      </c>
      <c r="B107" s="2" t="s">
        <v>262</v>
      </c>
      <c r="C107" s="2">
        <v>26</v>
      </c>
      <c r="D107" s="2" t="s">
        <v>20</v>
      </c>
      <c r="E107" s="2" t="s">
        <v>21</v>
      </c>
      <c r="F107" s="2" t="s">
        <v>22</v>
      </c>
      <c r="G107" s="2" t="s">
        <v>23</v>
      </c>
      <c r="H107" s="3">
        <v>45372</v>
      </c>
      <c r="I107" s="3">
        <v>44986</v>
      </c>
      <c r="J107" s="2">
        <v>5000</v>
      </c>
      <c r="K107" s="2">
        <v>0</v>
      </c>
      <c r="L107" s="2">
        <v>5000</v>
      </c>
      <c r="M107" s="2" t="s">
        <v>42</v>
      </c>
      <c r="N107" s="2" t="s">
        <v>31</v>
      </c>
      <c r="O107" s="2">
        <v>0</v>
      </c>
      <c r="P107" s="2">
        <v>45</v>
      </c>
      <c r="Q107" s="2" t="s">
        <v>31</v>
      </c>
      <c r="R107" s="2">
        <v>44</v>
      </c>
    </row>
    <row r="108" spans="1:18" x14ac:dyDescent="0.3">
      <c r="A108" s="2" t="s">
        <v>143</v>
      </c>
      <c r="B108" s="2" t="s">
        <v>279</v>
      </c>
      <c r="C108" s="2">
        <v>33</v>
      </c>
      <c r="D108" s="2" t="s">
        <v>20</v>
      </c>
      <c r="E108" s="2" t="s">
        <v>93</v>
      </c>
      <c r="F108" s="2" t="s">
        <v>66</v>
      </c>
      <c r="G108" s="2" t="s">
        <v>37</v>
      </c>
      <c r="H108" s="3">
        <v>45524</v>
      </c>
      <c r="I108" s="3">
        <v>44986</v>
      </c>
      <c r="J108" s="2">
        <v>7000</v>
      </c>
      <c r="K108" s="2">
        <v>500</v>
      </c>
      <c r="L108" s="2">
        <v>6500</v>
      </c>
      <c r="M108" s="2" t="s">
        <v>42</v>
      </c>
      <c r="N108" s="2" t="s">
        <v>38</v>
      </c>
      <c r="O108" s="2">
        <v>8</v>
      </c>
      <c r="P108" s="2">
        <v>26</v>
      </c>
      <c r="Q108" s="2" t="s">
        <v>31</v>
      </c>
      <c r="R108" s="2">
        <v>0</v>
      </c>
    </row>
    <row r="109" spans="1:18" x14ac:dyDescent="0.3">
      <c r="A109" s="2" t="s">
        <v>103</v>
      </c>
      <c r="B109" s="2" t="s">
        <v>61</v>
      </c>
      <c r="C109" s="2">
        <v>18</v>
      </c>
      <c r="D109" s="2" t="s">
        <v>34</v>
      </c>
      <c r="E109" s="2" t="s">
        <v>105</v>
      </c>
      <c r="F109" s="2" t="s">
        <v>88</v>
      </c>
      <c r="G109" s="2" t="s">
        <v>37</v>
      </c>
      <c r="H109" s="3">
        <v>45334</v>
      </c>
      <c r="I109" s="3">
        <v>45416</v>
      </c>
      <c r="J109" s="2">
        <v>6000</v>
      </c>
      <c r="K109" s="2">
        <v>500</v>
      </c>
      <c r="L109" s="2">
        <v>5500</v>
      </c>
      <c r="M109" s="2" t="s">
        <v>24</v>
      </c>
      <c r="N109" s="2" t="s">
        <v>25</v>
      </c>
      <c r="O109" s="2">
        <v>0</v>
      </c>
      <c r="P109" s="2">
        <v>13</v>
      </c>
      <c r="Q109" s="2" t="s">
        <v>52</v>
      </c>
      <c r="R109" s="2">
        <v>0</v>
      </c>
    </row>
    <row r="110" spans="1:18" x14ac:dyDescent="0.3">
      <c r="A110" s="2" t="s">
        <v>81</v>
      </c>
      <c r="B110" s="2" t="s">
        <v>252</v>
      </c>
      <c r="C110" s="2">
        <v>21</v>
      </c>
      <c r="D110" s="2" t="s">
        <v>28</v>
      </c>
      <c r="E110" s="2" t="s">
        <v>83</v>
      </c>
      <c r="F110" s="2" t="s">
        <v>30</v>
      </c>
      <c r="G110" s="2" t="s">
        <v>23</v>
      </c>
      <c r="H110" s="3">
        <v>45296</v>
      </c>
      <c r="I110" s="3">
        <v>45523</v>
      </c>
      <c r="J110" s="2">
        <v>6000</v>
      </c>
      <c r="K110" s="2">
        <v>0</v>
      </c>
      <c r="L110" s="2">
        <v>6000</v>
      </c>
      <c r="M110" s="2" t="s">
        <v>24</v>
      </c>
      <c r="N110" s="2" t="s">
        <v>38</v>
      </c>
      <c r="O110" s="2">
        <v>7</v>
      </c>
      <c r="P110" s="2">
        <v>47</v>
      </c>
      <c r="Q110" s="2" t="s">
        <v>48</v>
      </c>
      <c r="R110" s="2">
        <v>20</v>
      </c>
    </row>
    <row r="111" spans="1:18" x14ac:dyDescent="0.3">
      <c r="A111" s="2" t="s">
        <v>180</v>
      </c>
      <c r="B111" s="2" t="s">
        <v>310</v>
      </c>
      <c r="C111" s="2">
        <v>22</v>
      </c>
      <c r="D111" s="2" t="s">
        <v>90</v>
      </c>
      <c r="E111" s="2" t="s">
        <v>139</v>
      </c>
      <c r="F111" s="2" t="s">
        <v>36</v>
      </c>
      <c r="G111" s="2" t="s">
        <v>37</v>
      </c>
      <c r="H111" s="3">
        <v>45478</v>
      </c>
      <c r="I111" s="3">
        <v>45433</v>
      </c>
      <c r="J111" s="2">
        <v>6000</v>
      </c>
      <c r="K111" s="2">
        <v>0</v>
      </c>
      <c r="L111" s="2">
        <v>6000</v>
      </c>
      <c r="M111" s="2" t="s">
        <v>42</v>
      </c>
      <c r="N111" s="2" t="s">
        <v>71</v>
      </c>
      <c r="O111" s="2">
        <v>0</v>
      </c>
      <c r="P111" s="2">
        <v>45</v>
      </c>
      <c r="Q111" s="2" t="s">
        <v>52</v>
      </c>
      <c r="R111" s="2">
        <v>0</v>
      </c>
    </row>
    <row r="112" spans="1:18" x14ac:dyDescent="0.3">
      <c r="A112" s="2" t="s">
        <v>213</v>
      </c>
      <c r="B112" s="2" t="s">
        <v>343</v>
      </c>
      <c r="C112" s="2">
        <v>25</v>
      </c>
      <c r="D112" s="2" t="s">
        <v>34</v>
      </c>
      <c r="E112" s="2" t="s">
        <v>59</v>
      </c>
      <c r="F112" s="2" t="s">
        <v>46</v>
      </c>
      <c r="G112" s="2" t="s">
        <v>47</v>
      </c>
      <c r="H112" s="3">
        <v>45483</v>
      </c>
      <c r="I112" s="3">
        <v>44986</v>
      </c>
      <c r="J112" s="2">
        <v>5000</v>
      </c>
      <c r="K112" s="2">
        <v>500</v>
      </c>
      <c r="L112" s="2">
        <v>4500</v>
      </c>
      <c r="M112" s="2" t="s">
        <v>24</v>
      </c>
      <c r="N112" s="2" t="s">
        <v>25</v>
      </c>
      <c r="O112" s="2">
        <v>0</v>
      </c>
      <c r="P112" s="2">
        <v>0</v>
      </c>
      <c r="Q112" s="2" t="s">
        <v>25</v>
      </c>
      <c r="R112" s="2">
        <v>35</v>
      </c>
    </row>
    <row r="113" spans="1:18" x14ac:dyDescent="0.3">
      <c r="A113" s="2" t="s">
        <v>72</v>
      </c>
      <c r="B113" s="2" t="s">
        <v>247</v>
      </c>
      <c r="C113" s="2">
        <v>19</v>
      </c>
      <c r="D113" s="2" t="s">
        <v>90</v>
      </c>
      <c r="E113" s="2" t="s">
        <v>35</v>
      </c>
      <c r="F113" s="2" t="s">
        <v>22</v>
      </c>
      <c r="G113" s="2" t="s">
        <v>23</v>
      </c>
      <c r="H113" s="3">
        <v>45608</v>
      </c>
      <c r="I113" s="3">
        <v>44986</v>
      </c>
      <c r="J113" s="2">
        <v>3000</v>
      </c>
      <c r="K113" s="2">
        <v>0</v>
      </c>
      <c r="L113" s="2">
        <v>3000</v>
      </c>
      <c r="M113" s="2" t="s">
        <v>24</v>
      </c>
      <c r="N113" s="2" t="s">
        <v>71</v>
      </c>
      <c r="O113" s="2">
        <v>1</v>
      </c>
      <c r="P113" s="2">
        <v>5</v>
      </c>
      <c r="Q113" s="2" t="s">
        <v>52</v>
      </c>
      <c r="R113" s="2">
        <v>74</v>
      </c>
    </row>
    <row r="114" spans="1:18" x14ac:dyDescent="0.3">
      <c r="A114" s="2" t="s">
        <v>236</v>
      </c>
      <c r="B114" s="2" t="s">
        <v>366</v>
      </c>
      <c r="C114" s="2">
        <v>28</v>
      </c>
      <c r="D114" s="2" t="s">
        <v>90</v>
      </c>
      <c r="E114" s="2" t="s">
        <v>178</v>
      </c>
      <c r="F114" s="2" t="s">
        <v>78</v>
      </c>
      <c r="G114" s="2" t="s">
        <v>79</v>
      </c>
      <c r="H114" s="3">
        <v>45324</v>
      </c>
      <c r="I114" s="3">
        <v>44986</v>
      </c>
      <c r="J114" s="2">
        <v>4000</v>
      </c>
      <c r="K114" s="2">
        <v>500</v>
      </c>
      <c r="L114" s="2">
        <v>3500</v>
      </c>
      <c r="M114" s="2" t="s">
        <v>42</v>
      </c>
      <c r="N114" s="2" t="s">
        <v>48</v>
      </c>
      <c r="O114" s="2">
        <v>0</v>
      </c>
      <c r="P114" s="2">
        <v>18</v>
      </c>
      <c r="Q114" s="2" t="s">
        <v>31</v>
      </c>
      <c r="R114" s="2">
        <v>35</v>
      </c>
    </row>
    <row r="115" spans="1:18" x14ac:dyDescent="0.3">
      <c r="A115" s="2" t="s">
        <v>153</v>
      </c>
      <c r="B115" s="2" t="s">
        <v>287</v>
      </c>
      <c r="C115" s="2">
        <v>35</v>
      </c>
      <c r="D115" s="2" t="s">
        <v>50</v>
      </c>
      <c r="E115" s="2" t="s">
        <v>41</v>
      </c>
      <c r="F115" s="2" t="s">
        <v>95</v>
      </c>
      <c r="G115" s="2" t="s">
        <v>37</v>
      </c>
      <c r="H115" s="3">
        <v>45511</v>
      </c>
      <c r="I115" s="3">
        <v>45619</v>
      </c>
      <c r="J115" s="2">
        <v>7000</v>
      </c>
      <c r="K115" s="2">
        <v>1000</v>
      </c>
      <c r="L115" s="2">
        <v>6000</v>
      </c>
      <c r="M115" s="2" t="s">
        <v>24</v>
      </c>
      <c r="N115" s="2" t="s">
        <v>48</v>
      </c>
      <c r="O115" s="2">
        <v>0</v>
      </c>
      <c r="P115" s="2">
        <v>22</v>
      </c>
      <c r="Q115" s="2" t="s">
        <v>25</v>
      </c>
      <c r="R115" s="2">
        <v>18</v>
      </c>
    </row>
    <row r="116" spans="1:18" x14ac:dyDescent="0.3">
      <c r="A116" s="2" t="s">
        <v>49</v>
      </c>
      <c r="B116" s="2" t="s">
        <v>73</v>
      </c>
      <c r="C116" s="2">
        <v>22</v>
      </c>
      <c r="D116" s="2" t="s">
        <v>50</v>
      </c>
      <c r="E116" s="2" t="s">
        <v>51</v>
      </c>
      <c r="F116" s="2" t="s">
        <v>30</v>
      </c>
      <c r="G116" s="2" t="s">
        <v>23</v>
      </c>
      <c r="H116" s="3">
        <v>45613</v>
      </c>
      <c r="I116" s="3">
        <v>44986</v>
      </c>
      <c r="J116" s="2">
        <v>7000</v>
      </c>
      <c r="K116" s="2">
        <v>0</v>
      </c>
      <c r="L116" s="2">
        <v>7000</v>
      </c>
      <c r="M116" s="2" t="s">
        <v>42</v>
      </c>
      <c r="N116" s="2" t="s">
        <v>52</v>
      </c>
      <c r="O116" s="2">
        <v>8</v>
      </c>
      <c r="P116" s="2">
        <v>16</v>
      </c>
      <c r="Q116" s="2" t="s">
        <v>48</v>
      </c>
      <c r="R116" s="2">
        <v>1</v>
      </c>
    </row>
    <row r="117" spans="1:18" x14ac:dyDescent="0.3">
      <c r="A117" s="2" t="s">
        <v>232</v>
      </c>
      <c r="B117" s="2" t="s">
        <v>362</v>
      </c>
      <c r="C117" s="2">
        <v>32</v>
      </c>
      <c r="D117" s="2" t="s">
        <v>50</v>
      </c>
      <c r="E117" s="2" t="s">
        <v>146</v>
      </c>
      <c r="F117" s="2" t="s">
        <v>95</v>
      </c>
      <c r="G117" s="2" t="s">
        <v>37</v>
      </c>
      <c r="H117" s="3">
        <v>45441</v>
      </c>
      <c r="I117" s="3">
        <v>45445</v>
      </c>
      <c r="J117" s="2">
        <v>7000</v>
      </c>
      <c r="K117" s="2">
        <v>1000</v>
      </c>
      <c r="L117" s="2">
        <v>6000</v>
      </c>
      <c r="M117" s="2" t="s">
        <v>24</v>
      </c>
      <c r="N117" s="2" t="s">
        <v>52</v>
      </c>
      <c r="O117" s="2">
        <v>8</v>
      </c>
      <c r="P117" s="2">
        <v>32</v>
      </c>
      <c r="Q117" s="2" t="s">
        <v>25</v>
      </c>
      <c r="R117" s="2">
        <v>0</v>
      </c>
    </row>
    <row r="118" spans="1:18" x14ac:dyDescent="0.3">
      <c r="A118" s="2" t="s">
        <v>135</v>
      </c>
      <c r="B118" s="2" t="s">
        <v>274</v>
      </c>
      <c r="C118" s="2">
        <v>20</v>
      </c>
      <c r="D118" s="2" t="s">
        <v>34</v>
      </c>
      <c r="E118" s="2" t="s">
        <v>87</v>
      </c>
      <c r="F118" s="2" t="s">
        <v>66</v>
      </c>
      <c r="G118" s="2" t="s">
        <v>37</v>
      </c>
      <c r="H118" s="3">
        <v>45645</v>
      </c>
      <c r="I118" s="3">
        <v>45677</v>
      </c>
      <c r="J118" s="2">
        <v>4000</v>
      </c>
      <c r="K118" s="2">
        <v>500</v>
      </c>
      <c r="L118" s="2">
        <v>3500</v>
      </c>
      <c r="M118" s="2" t="s">
        <v>42</v>
      </c>
      <c r="N118" s="2" t="s">
        <v>52</v>
      </c>
      <c r="O118" s="2">
        <v>0</v>
      </c>
      <c r="P118" s="2">
        <v>36</v>
      </c>
      <c r="Q118" s="2" t="s">
        <v>31</v>
      </c>
      <c r="R118" s="2">
        <v>37</v>
      </c>
    </row>
    <row r="119" spans="1:18" x14ac:dyDescent="0.3">
      <c r="A119" s="2" t="s">
        <v>228</v>
      </c>
      <c r="B119" s="2" t="s">
        <v>358</v>
      </c>
      <c r="C119" s="2">
        <v>30</v>
      </c>
      <c r="D119" s="2" t="s">
        <v>90</v>
      </c>
      <c r="E119" s="2" t="s">
        <v>65</v>
      </c>
      <c r="F119" s="2" t="s">
        <v>88</v>
      </c>
      <c r="G119" s="2" t="s">
        <v>37</v>
      </c>
      <c r="H119" s="3">
        <v>45576</v>
      </c>
      <c r="I119" s="3">
        <v>44986</v>
      </c>
      <c r="J119" s="2">
        <v>7000</v>
      </c>
      <c r="K119" s="2">
        <v>500</v>
      </c>
      <c r="L119" s="2">
        <v>6500</v>
      </c>
      <c r="M119" s="2" t="s">
        <v>42</v>
      </c>
      <c r="N119" s="2" t="s">
        <v>25</v>
      </c>
      <c r="O119" s="2">
        <v>0</v>
      </c>
      <c r="P119" s="2">
        <v>48</v>
      </c>
      <c r="Q119" s="2" t="s">
        <v>25</v>
      </c>
      <c r="R119" s="2">
        <v>13</v>
      </c>
    </row>
    <row r="120" spans="1:18" x14ac:dyDescent="0.3">
      <c r="A120" s="2" t="s">
        <v>241</v>
      </c>
      <c r="B120" s="2" t="s">
        <v>371</v>
      </c>
      <c r="C120" s="2">
        <v>25</v>
      </c>
      <c r="D120" s="2" t="s">
        <v>90</v>
      </c>
      <c r="E120" s="2" t="s">
        <v>70</v>
      </c>
      <c r="F120" s="2" t="s">
        <v>36</v>
      </c>
      <c r="G120" s="2" t="s">
        <v>37</v>
      </c>
      <c r="H120" s="3">
        <v>45645</v>
      </c>
      <c r="I120" s="3">
        <v>45648</v>
      </c>
      <c r="J120" s="2">
        <v>4000</v>
      </c>
      <c r="K120" s="2">
        <v>0</v>
      </c>
      <c r="L120" s="2">
        <v>4000</v>
      </c>
      <c r="M120" s="2" t="s">
        <v>42</v>
      </c>
      <c r="N120" s="2" t="s">
        <v>71</v>
      </c>
      <c r="O120" s="2">
        <v>0</v>
      </c>
      <c r="P120" s="2">
        <v>41</v>
      </c>
      <c r="Q120" s="2" t="s">
        <v>25</v>
      </c>
      <c r="R120" s="2">
        <v>0</v>
      </c>
    </row>
    <row r="121" spans="1:18" x14ac:dyDescent="0.3">
      <c r="A121" s="2" t="s">
        <v>127</v>
      </c>
      <c r="B121" s="2" t="s">
        <v>268</v>
      </c>
      <c r="C121" s="2">
        <v>32</v>
      </c>
      <c r="D121" s="2" t="s">
        <v>34</v>
      </c>
      <c r="E121" s="2" t="s">
        <v>41</v>
      </c>
      <c r="F121" s="2" t="s">
        <v>36</v>
      </c>
      <c r="G121" s="2" t="s">
        <v>37</v>
      </c>
      <c r="H121" s="3">
        <v>45504</v>
      </c>
      <c r="I121" s="3">
        <v>44986</v>
      </c>
      <c r="J121" s="2">
        <v>4000</v>
      </c>
      <c r="K121" s="2">
        <v>500</v>
      </c>
      <c r="L121" s="2">
        <v>3500</v>
      </c>
      <c r="M121" s="2" t="s">
        <v>42</v>
      </c>
      <c r="N121" s="2" t="s">
        <v>48</v>
      </c>
      <c r="O121" s="2">
        <v>4</v>
      </c>
      <c r="P121" s="2">
        <v>32</v>
      </c>
      <c r="Q121" s="2" t="s">
        <v>48</v>
      </c>
      <c r="R121" s="2">
        <v>0</v>
      </c>
    </row>
    <row r="122" spans="1:18" x14ac:dyDescent="0.3">
      <c r="A122" s="2" t="s">
        <v>100</v>
      </c>
      <c r="B122" s="2" t="s">
        <v>56</v>
      </c>
      <c r="C122" s="2">
        <v>35</v>
      </c>
      <c r="D122" s="2" t="s">
        <v>20</v>
      </c>
      <c r="E122" s="2" t="s">
        <v>76</v>
      </c>
      <c r="F122" s="2" t="s">
        <v>30</v>
      </c>
      <c r="G122" s="2" t="s">
        <v>23</v>
      </c>
      <c r="H122" s="3">
        <v>45653</v>
      </c>
      <c r="I122" s="3">
        <v>44986</v>
      </c>
      <c r="J122" s="2">
        <v>6000</v>
      </c>
      <c r="K122" s="2">
        <v>1000</v>
      </c>
      <c r="L122" s="2">
        <v>5000</v>
      </c>
      <c r="M122" s="2" t="s">
        <v>42</v>
      </c>
      <c r="N122" s="2" t="s">
        <v>52</v>
      </c>
      <c r="O122" s="2">
        <v>7</v>
      </c>
      <c r="P122" s="2">
        <v>26</v>
      </c>
      <c r="Q122" s="2" t="s">
        <v>52</v>
      </c>
      <c r="R122" s="2">
        <v>74</v>
      </c>
    </row>
    <row r="123" spans="1:18" x14ac:dyDescent="0.3">
      <c r="A123" s="2" t="s">
        <v>187</v>
      </c>
      <c r="B123" s="2" t="s">
        <v>317</v>
      </c>
      <c r="C123" s="2">
        <v>26</v>
      </c>
      <c r="D123" s="2" t="s">
        <v>20</v>
      </c>
      <c r="E123" s="2" t="s">
        <v>132</v>
      </c>
      <c r="F123" s="2" t="s">
        <v>88</v>
      </c>
      <c r="G123" s="2" t="s">
        <v>37</v>
      </c>
      <c r="H123" s="3">
        <v>45440</v>
      </c>
      <c r="I123" s="3">
        <v>44986</v>
      </c>
      <c r="J123" s="2">
        <v>4000</v>
      </c>
      <c r="K123" s="2">
        <v>500</v>
      </c>
      <c r="L123" s="2">
        <v>3500</v>
      </c>
      <c r="M123" s="2" t="s">
        <v>42</v>
      </c>
      <c r="N123" s="2" t="s">
        <v>31</v>
      </c>
      <c r="O123" s="2">
        <v>10</v>
      </c>
      <c r="P123" s="2">
        <v>48</v>
      </c>
      <c r="Q123" s="2" t="s">
        <v>48</v>
      </c>
      <c r="R123" s="2">
        <v>0</v>
      </c>
    </row>
    <row r="124" spans="1:18" x14ac:dyDescent="0.3">
      <c r="A124" s="2" t="s">
        <v>60</v>
      </c>
      <c r="B124" s="2" t="s">
        <v>118</v>
      </c>
      <c r="C124" s="2">
        <v>25</v>
      </c>
      <c r="D124" s="2" t="s">
        <v>90</v>
      </c>
      <c r="E124" s="2" t="s">
        <v>51</v>
      </c>
      <c r="F124" s="2" t="s">
        <v>22</v>
      </c>
      <c r="G124" s="2" t="s">
        <v>23</v>
      </c>
      <c r="H124" s="3">
        <v>45308</v>
      </c>
      <c r="I124" s="3">
        <v>45448</v>
      </c>
      <c r="J124" s="2">
        <v>7000</v>
      </c>
      <c r="K124" s="2">
        <v>500</v>
      </c>
      <c r="L124" s="2">
        <v>6500</v>
      </c>
      <c r="M124" s="2" t="s">
        <v>24</v>
      </c>
      <c r="N124" s="2" t="s">
        <v>38</v>
      </c>
      <c r="O124" s="2">
        <v>4</v>
      </c>
      <c r="P124" s="2">
        <v>8</v>
      </c>
      <c r="Q124" s="2" t="s">
        <v>48</v>
      </c>
      <c r="R124" s="2">
        <v>36</v>
      </c>
    </row>
    <row r="125" spans="1:18" x14ac:dyDescent="0.3">
      <c r="A125" s="2" t="s">
        <v>205</v>
      </c>
      <c r="B125" s="2" t="s">
        <v>335</v>
      </c>
      <c r="C125" s="2">
        <v>35</v>
      </c>
      <c r="D125" s="2" t="s">
        <v>20</v>
      </c>
      <c r="E125" s="2" t="s">
        <v>76</v>
      </c>
      <c r="F125" s="2" t="s">
        <v>78</v>
      </c>
      <c r="G125" s="2" t="s">
        <v>79</v>
      </c>
      <c r="H125" s="3">
        <v>45371</v>
      </c>
      <c r="I125" s="3">
        <v>45406</v>
      </c>
      <c r="J125" s="2">
        <v>3000</v>
      </c>
      <c r="K125" s="2">
        <v>500</v>
      </c>
      <c r="L125" s="2">
        <v>2500</v>
      </c>
      <c r="M125" s="2" t="s">
        <v>42</v>
      </c>
      <c r="N125" s="2" t="s">
        <v>25</v>
      </c>
      <c r="O125" s="2">
        <v>4</v>
      </c>
      <c r="P125" s="2">
        <v>6</v>
      </c>
      <c r="Q125" s="2" t="s">
        <v>48</v>
      </c>
      <c r="R125" s="2">
        <v>57</v>
      </c>
    </row>
    <row r="126" spans="1:18" x14ac:dyDescent="0.3">
      <c r="A126" s="2" t="s">
        <v>175</v>
      </c>
      <c r="B126" s="2" t="s">
        <v>306</v>
      </c>
      <c r="C126" s="2">
        <v>19</v>
      </c>
      <c r="D126" s="2" t="s">
        <v>90</v>
      </c>
      <c r="E126" s="2" t="s">
        <v>51</v>
      </c>
      <c r="F126" s="2" t="s">
        <v>88</v>
      </c>
      <c r="G126" s="2" t="s">
        <v>37</v>
      </c>
      <c r="H126" s="3">
        <v>45453</v>
      </c>
      <c r="I126" s="3">
        <v>44986</v>
      </c>
      <c r="J126" s="2">
        <v>6000</v>
      </c>
      <c r="K126" s="2">
        <v>0</v>
      </c>
      <c r="L126" s="2">
        <v>6000</v>
      </c>
      <c r="M126" s="2" t="s">
        <v>42</v>
      </c>
      <c r="N126" s="2" t="s">
        <v>31</v>
      </c>
      <c r="O126" s="2">
        <v>0</v>
      </c>
      <c r="P126" s="2">
        <v>22</v>
      </c>
      <c r="Q126" s="2" t="s">
        <v>25</v>
      </c>
      <c r="R126" s="2">
        <v>0</v>
      </c>
    </row>
    <row r="127" spans="1:18" x14ac:dyDescent="0.3">
      <c r="A127" s="2" t="s">
        <v>120</v>
      </c>
      <c r="B127" s="2" t="s">
        <v>263</v>
      </c>
      <c r="C127" s="2">
        <v>24</v>
      </c>
      <c r="D127" s="2" t="s">
        <v>34</v>
      </c>
      <c r="E127" s="2" t="s">
        <v>93</v>
      </c>
      <c r="F127" s="2" t="s">
        <v>30</v>
      </c>
      <c r="G127" s="2" t="s">
        <v>23</v>
      </c>
      <c r="H127" s="3">
        <v>45428</v>
      </c>
      <c r="I127" s="3">
        <v>45533</v>
      </c>
      <c r="J127" s="2">
        <v>3000</v>
      </c>
      <c r="K127" s="2">
        <v>500</v>
      </c>
      <c r="L127" s="2">
        <v>2500</v>
      </c>
      <c r="M127" s="2" t="s">
        <v>42</v>
      </c>
      <c r="N127" s="2" t="s">
        <v>31</v>
      </c>
      <c r="O127" s="2">
        <v>0</v>
      </c>
      <c r="P127" s="2">
        <v>28</v>
      </c>
      <c r="Q127" s="2" t="s">
        <v>25</v>
      </c>
      <c r="R127" s="2">
        <v>0</v>
      </c>
    </row>
    <row r="128" spans="1:18" x14ac:dyDescent="0.3">
      <c r="A128" s="2" t="s">
        <v>194</v>
      </c>
      <c r="B128" s="2" t="s">
        <v>324</v>
      </c>
      <c r="C128" s="2">
        <v>33</v>
      </c>
      <c r="D128" s="2" t="s">
        <v>90</v>
      </c>
      <c r="E128" s="2" t="s">
        <v>149</v>
      </c>
      <c r="F128" s="2" t="s">
        <v>95</v>
      </c>
      <c r="G128" s="2" t="s">
        <v>37</v>
      </c>
      <c r="H128" s="3">
        <v>45444</v>
      </c>
      <c r="I128" s="3">
        <v>45542</v>
      </c>
      <c r="J128" s="2">
        <v>5000</v>
      </c>
      <c r="K128" s="2">
        <v>500</v>
      </c>
      <c r="L128" s="2">
        <v>4500</v>
      </c>
      <c r="M128" s="2" t="s">
        <v>24</v>
      </c>
      <c r="N128" s="2" t="s">
        <v>52</v>
      </c>
      <c r="O128" s="2">
        <v>9</v>
      </c>
      <c r="P128" s="2">
        <v>17</v>
      </c>
      <c r="Q128" s="2" t="s">
        <v>31</v>
      </c>
      <c r="R128" s="2">
        <v>73</v>
      </c>
    </row>
    <row r="129" spans="1:18" x14ac:dyDescent="0.3">
      <c r="A129" s="2" t="s">
        <v>115</v>
      </c>
      <c r="B129" s="2" t="s">
        <v>259</v>
      </c>
      <c r="C129" s="2">
        <v>35</v>
      </c>
      <c r="D129" s="2" t="s">
        <v>20</v>
      </c>
      <c r="E129" s="2" t="s">
        <v>99</v>
      </c>
      <c r="F129" s="2" t="s">
        <v>36</v>
      </c>
      <c r="G129" s="2" t="s">
        <v>37</v>
      </c>
      <c r="H129" s="3">
        <v>45343</v>
      </c>
      <c r="I129" s="3">
        <v>45449</v>
      </c>
      <c r="J129" s="2">
        <v>4000</v>
      </c>
      <c r="K129" s="2">
        <v>1000</v>
      </c>
      <c r="L129" s="2">
        <v>3000</v>
      </c>
      <c r="M129" s="2" t="s">
        <v>24</v>
      </c>
      <c r="N129" s="2" t="s">
        <v>31</v>
      </c>
      <c r="O129" s="2">
        <v>1</v>
      </c>
      <c r="P129" s="2">
        <v>17</v>
      </c>
      <c r="Q129" s="2" t="s">
        <v>25</v>
      </c>
      <c r="R129" s="2">
        <v>0</v>
      </c>
    </row>
    <row r="130" spans="1:18" x14ac:dyDescent="0.3">
      <c r="A130" s="2" t="s">
        <v>108</v>
      </c>
      <c r="B130" s="2" t="s">
        <v>254</v>
      </c>
      <c r="C130" s="2">
        <v>32</v>
      </c>
      <c r="D130" s="2" t="s">
        <v>34</v>
      </c>
      <c r="E130" s="2" t="s">
        <v>21</v>
      </c>
      <c r="F130" s="2" t="s">
        <v>22</v>
      </c>
      <c r="G130" s="2" t="s">
        <v>23</v>
      </c>
      <c r="H130" s="3">
        <v>45375</v>
      </c>
      <c r="I130" s="3">
        <v>45327</v>
      </c>
      <c r="J130" s="2">
        <v>5000</v>
      </c>
      <c r="K130" s="2">
        <v>0</v>
      </c>
      <c r="L130" s="2">
        <v>5000</v>
      </c>
      <c r="M130" s="2" t="s">
        <v>42</v>
      </c>
      <c r="N130" s="2" t="s">
        <v>52</v>
      </c>
      <c r="O130" s="2">
        <v>7</v>
      </c>
      <c r="P130" s="2">
        <v>37</v>
      </c>
      <c r="Q130" s="2" t="s">
        <v>48</v>
      </c>
      <c r="R130" s="2">
        <v>0</v>
      </c>
    </row>
    <row r="131" spans="1:18" x14ac:dyDescent="0.3">
      <c r="A131" s="2" t="s">
        <v>184</v>
      </c>
      <c r="B131" s="2" t="s">
        <v>314</v>
      </c>
      <c r="C131" s="2">
        <v>27</v>
      </c>
      <c r="D131" s="2" t="s">
        <v>34</v>
      </c>
      <c r="E131" s="2" t="s">
        <v>76</v>
      </c>
      <c r="F131" s="2" t="s">
        <v>36</v>
      </c>
      <c r="G131" s="2" t="s">
        <v>37</v>
      </c>
      <c r="H131" s="3">
        <v>45567</v>
      </c>
      <c r="I131" s="3">
        <v>45364</v>
      </c>
      <c r="J131" s="2">
        <v>4000</v>
      </c>
      <c r="K131" s="2">
        <v>1000</v>
      </c>
      <c r="L131" s="2">
        <v>3000</v>
      </c>
      <c r="M131" s="2" t="s">
        <v>42</v>
      </c>
      <c r="N131" s="2" t="s">
        <v>71</v>
      </c>
      <c r="O131" s="2">
        <v>9</v>
      </c>
      <c r="P131" s="2">
        <v>10</v>
      </c>
      <c r="Q131" s="2" t="s">
        <v>48</v>
      </c>
      <c r="R131" s="2">
        <v>60</v>
      </c>
    </row>
    <row r="132" spans="1:18" x14ac:dyDescent="0.3">
      <c r="A132" s="2" t="s">
        <v>208</v>
      </c>
      <c r="B132" s="2" t="s">
        <v>338</v>
      </c>
      <c r="C132" s="2">
        <v>35</v>
      </c>
      <c r="D132" s="2" t="s">
        <v>20</v>
      </c>
      <c r="E132" s="2" t="s">
        <v>76</v>
      </c>
      <c r="F132" s="2" t="s">
        <v>30</v>
      </c>
      <c r="G132" s="2" t="s">
        <v>23</v>
      </c>
      <c r="H132" s="3">
        <v>45529</v>
      </c>
      <c r="I132" s="3">
        <v>44986</v>
      </c>
      <c r="J132" s="2">
        <v>6000</v>
      </c>
      <c r="K132" s="2">
        <v>0</v>
      </c>
      <c r="L132" s="2">
        <v>6000</v>
      </c>
      <c r="M132" s="2" t="s">
        <v>42</v>
      </c>
      <c r="N132" s="2" t="s">
        <v>48</v>
      </c>
      <c r="O132" s="2">
        <v>0</v>
      </c>
      <c r="P132" s="2">
        <v>13</v>
      </c>
      <c r="Q132" s="2" t="s">
        <v>31</v>
      </c>
      <c r="R132" s="2">
        <v>0</v>
      </c>
    </row>
    <row r="133" spans="1:18" x14ac:dyDescent="0.3">
      <c r="A133" s="2" t="s">
        <v>181</v>
      </c>
      <c r="B133" s="2" t="s">
        <v>311</v>
      </c>
      <c r="C133" s="2">
        <v>24</v>
      </c>
      <c r="D133" s="2" t="s">
        <v>50</v>
      </c>
      <c r="E133" s="2" t="s">
        <v>141</v>
      </c>
      <c r="F133" s="2" t="s">
        <v>46</v>
      </c>
      <c r="G133" s="2" t="s">
        <v>47</v>
      </c>
      <c r="H133" s="3">
        <v>45336</v>
      </c>
      <c r="I133" s="3">
        <v>45439</v>
      </c>
      <c r="J133" s="2">
        <v>5000</v>
      </c>
      <c r="K133" s="2">
        <v>1000</v>
      </c>
      <c r="L133" s="2">
        <v>4000</v>
      </c>
      <c r="M133" s="2" t="s">
        <v>42</v>
      </c>
      <c r="N133" s="2" t="s">
        <v>25</v>
      </c>
      <c r="O133" s="2">
        <v>0</v>
      </c>
      <c r="P133" s="2">
        <v>19</v>
      </c>
      <c r="Q133" s="2" t="s">
        <v>48</v>
      </c>
      <c r="R133" s="2">
        <v>90</v>
      </c>
    </row>
    <row r="134" spans="1:18" x14ac:dyDescent="0.3">
      <c r="A134" s="2" t="s">
        <v>189</v>
      </c>
      <c r="B134" s="2" t="s">
        <v>319</v>
      </c>
      <c r="C134" s="2">
        <v>29</v>
      </c>
      <c r="D134" s="2" t="s">
        <v>34</v>
      </c>
      <c r="E134" s="2" t="s">
        <v>130</v>
      </c>
      <c r="F134" s="2" t="s">
        <v>88</v>
      </c>
      <c r="G134" s="2" t="s">
        <v>37</v>
      </c>
      <c r="H134" s="3">
        <v>45583</v>
      </c>
      <c r="I134" s="3">
        <v>45654</v>
      </c>
      <c r="J134" s="2">
        <v>7000</v>
      </c>
      <c r="K134" s="2">
        <v>1000</v>
      </c>
      <c r="L134" s="2">
        <v>6000</v>
      </c>
      <c r="M134" s="2" t="s">
        <v>24</v>
      </c>
      <c r="N134" s="2" t="s">
        <v>52</v>
      </c>
      <c r="O134" s="2">
        <v>8</v>
      </c>
      <c r="P134" s="2">
        <v>17</v>
      </c>
      <c r="Q134" s="2" t="s">
        <v>48</v>
      </c>
      <c r="R134" s="2">
        <v>43</v>
      </c>
    </row>
    <row r="135" spans="1:18" x14ac:dyDescent="0.3">
      <c r="A135" s="2" t="s">
        <v>216</v>
      </c>
      <c r="B135" s="2" t="s">
        <v>346</v>
      </c>
      <c r="C135" s="2">
        <v>33</v>
      </c>
      <c r="D135" s="2" t="s">
        <v>50</v>
      </c>
      <c r="E135" s="2" t="s">
        <v>41</v>
      </c>
      <c r="F135" s="2" t="s">
        <v>88</v>
      </c>
      <c r="G135" s="2" t="s">
        <v>37</v>
      </c>
      <c r="H135" s="3">
        <v>45383</v>
      </c>
      <c r="I135" s="3">
        <v>45501</v>
      </c>
      <c r="J135" s="2">
        <v>4000</v>
      </c>
      <c r="K135" s="2">
        <v>0</v>
      </c>
      <c r="L135" s="2">
        <v>4000</v>
      </c>
      <c r="M135" s="2" t="s">
        <v>24</v>
      </c>
      <c r="N135" s="2" t="s">
        <v>38</v>
      </c>
      <c r="O135" s="2">
        <v>0</v>
      </c>
      <c r="P135" s="2">
        <v>10</v>
      </c>
      <c r="Q135" s="2" t="s">
        <v>48</v>
      </c>
      <c r="R135" s="2">
        <v>0</v>
      </c>
    </row>
    <row r="136" spans="1:18" x14ac:dyDescent="0.3">
      <c r="A136" s="2" t="s">
        <v>221</v>
      </c>
      <c r="B136" s="2" t="s">
        <v>351</v>
      </c>
      <c r="C136" s="2">
        <v>31</v>
      </c>
      <c r="D136" s="2" t="s">
        <v>90</v>
      </c>
      <c r="E136" s="2" t="s">
        <v>54</v>
      </c>
      <c r="F136" s="2" t="s">
        <v>22</v>
      </c>
      <c r="G136" s="2" t="s">
        <v>23</v>
      </c>
      <c r="H136" s="3">
        <v>45358</v>
      </c>
      <c r="I136" s="3">
        <v>44986</v>
      </c>
      <c r="J136" s="2">
        <v>7000</v>
      </c>
      <c r="K136" s="2">
        <v>0</v>
      </c>
      <c r="L136" s="2">
        <v>7000</v>
      </c>
      <c r="M136" s="2" t="s">
        <v>24</v>
      </c>
      <c r="N136" s="2" t="s">
        <v>52</v>
      </c>
      <c r="O136" s="2">
        <v>0</v>
      </c>
      <c r="P136" s="2">
        <v>0</v>
      </c>
      <c r="Q136" s="2" t="s">
        <v>52</v>
      </c>
      <c r="R136" s="2">
        <v>0</v>
      </c>
    </row>
    <row r="137" spans="1:18" x14ac:dyDescent="0.3">
      <c r="A137" s="2" t="s">
        <v>142</v>
      </c>
      <c r="B137" s="2" t="s">
        <v>278</v>
      </c>
      <c r="C137" s="2">
        <v>30</v>
      </c>
      <c r="D137" s="2" t="s">
        <v>62</v>
      </c>
      <c r="E137" s="2" t="s">
        <v>76</v>
      </c>
      <c r="F137" s="2" t="s">
        <v>88</v>
      </c>
      <c r="G137" s="2" t="s">
        <v>37</v>
      </c>
      <c r="H137" s="3">
        <v>45609</v>
      </c>
      <c r="I137" s="3">
        <v>45722</v>
      </c>
      <c r="J137" s="2">
        <v>7000</v>
      </c>
      <c r="K137" s="2">
        <v>500</v>
      </c>
      <c r="L137" s="2">
        <v>6500</v>
      </c>
      <c r="M137" s="2" t="s">
        <v>42</v>
      </c>
      <c r="N137" s="2" t="s">
        <v>25</v>
      </c>
      <c r="O137" s="2">
        <v>5</v>
      </c>
      <c r="P137" s="2">
        <v>26</v>
      </c>
      <c r="Q137" s="2" t="s">
        <v>25</v>
      </c>
      <c r="R137" s="2">
        <v>8</v>
      </c>
    </row>
    <row r="138" spans="1:18" x14ac:dyDescent="0.3">
      <c r="A138" s="2" t="s">
        <v>117</v>
      </c>
      <c r="B138" s="2" t="s">
        <v>261</v>
      </c>
      <c r="C138" s="2">
        <v>20</v>
      </c>
      <c r="D138" s="2" t="s">
        <v>34</v>
      </c>
      <c r="E138" s="2" t="s">
        <v>83</v>
      </c>
      <c r="F138" s="2" t="s">
        <v>95</v>
      </c>
      <c r="G138" s="2" t="s">
        <v>37</v>
      </c>
      <c r="H138" s="3">
        <v>45559</v>
      </c>
      <c r="I138" s="3">
        <v>44986</v>
      </c>
      <c r="J138" s="2">
        <v>5000</v>
      </c>
      <c r="K138" s="2">
        <v>0</v>
      </c>
      <c r="L138" s="2">
        <v>5000</v>
      </c>
      <c r="M138" s="2" t="s">
        <v>42</v>
      </c>
      <c r="N138" s="2" t="s">
        <v>31</v>
      </c>
      <c r="O138" s="2">
        <v>10</v>
      </c>
      <c r="P138" s="2">
        <v>39</v>
      </c>
      <c r="Q138" s="2" t="s">
        <v>25</v>
      </c>
      <c r="R138" s="2">
        <v>26</v>
      </c>
    </row>
    <row r="139" spans="1:18" x14ac:dyDescent="0.3">
      <c r="A139" s="2" t="s">
        <v>171</v>
      </c>
      <c r="B139" s="2" t="s">
        <v>303</v>
      </c>
      <c r="C139" s="2">
        <v>21</v>
      </c>
      <c r="D139" s="2" t="s">
        <v>34</v>
      </c>
      <c r="E139" s="2" t="s">
        <v>172</v>
      </c>
      <c r="F139" s="2" t="s">
        <v>95</v>
      </c>
      <c r="G139" s="2" t="s">
        <v>37</v>
      </c>
      <c r="H139" s="3">
        <v>45506</v>
      </c>
      <c r="I139" s="3">
        <v>44986</v>
      </c>
      <c r="J139" s="2">
        <v>3000</v>
      </c>
      <c r="K139" s="2">
        <v>0</v>
      </c>
      <c r="L139" s="2">
        <v>3000</v>
      </c>
      <c r="M139" s="2" t="s">
        <v>42</v>
      </c>
      <c r="N139" s="2" t="s">
        <v>52</v>
      </c>
      <c r="O139" s="2">
        <v>10</v>
      </c>
      <c r="P139" s="2">
        <v>40</v>
      </c>
      <c r="Q139" s="2" t="s">
        <v>48</v>
      </c>
      <c r="R139" s="2">
        <v>30</v>
      </c>
    </row>
    <row r="140" spans="1:18" x14ac:dyDescent="0.3">
      <c r="A140" s="2" t="s">
        <v>151</v>
      </c>
      <c r="B140" s="2" t="s">
        <v>285</v>
      </c>
      <c r="C140" s="2">
        <v>31</v>
      </c>
      <c r="D140" s="2" t="s">
        <v>90</v>
      </c>
      <c r="E140" s="2" t="s">
        <v>65</v>
      </c>
      <c r="F140" s="2" t="s">
        <v>22</v>
      </c>
      <c r="G140" s="2" t="s">
        <v>23</v>
      </c>
      <c r="H140" s="3">
        <v>45452</v>
      </c>
      <c r="I140" s="3">
        <v>45506</v>
      </c>
      <c r="J140" s="2">
        <v>5000</v>
      </c>
      <c r="K140" s="2">
        <v>500</v>
      </c>
      <c r="L140" s="2">
        <v>4500</v>
      </c>
      <c r="M140" s="2" t="s">
        <v>42</v>
      </c>
      <c r="N140" s="2" t="s">
        <v>52</v>
      </c>
      <c r="O140" s="2">
        <v>2</v>
      </c>
      <c r="P140" s="2">
        <v>5</v>
      </c>
      <c r="Q140" s="2" t="s">
        <v>52</v>
      </c>
      <c r="R140" s="2">
        <v>6</v>
      </c>
    </row>
    <row r="141" spans="1:18" x14ac:dyDescent="0.3">
      <c r="A141" s="2" t="s">
        <v>176</v>
      </c>
      <c r="B141" s="2" t="s">
        <v>307</v>
      </c>
      <c r="C141" s="2">
        <v>29</v>
      </c>
      <c r="D141" s="2" t="s">
        <v>90</v>
      </c>
      <c r="E141" s="2" t="s">
        <v>99</v>
      </c>
      <c r="F141" s="2" t="s">
        <v>78</v>
      </c>
      <c r="G141" s="2" t="s">
        <v>79</v>
      </c>
      <c r="H141" s="3">
        <v>45387</v>
      </c>
      <c r="I141" s="3">
        <v>44986</v>
      </c>
      <c r="J141" s="2">
        <v>5000</v>
      </c>
      <c r="K141" s="2">
        <v>0</v>
      </c>
      <c r="L141" s="2">
        <v>5000</v>
      </c>
      <c r="M141" s="2" t="s">
        <v>24</v>
      </c>
      <c r="N141" s="2" t="s">
        <v>25</v>
      </c>
      <c r="O141" s="2">
        <v>0</v>
      </c>
      <c r="P141" s="2">
        <v>38</v>
      </c>
      <c r="Q141" s="2" t="s">
        <v>48</v>
      </c>
      <c r="R141" s="2">
        <v>0</v>
      </c>
    </row>
    <row r="142" spans="1:18" x14ac:dyDescent="0.3">
      <c r="A142" s="2" t="s">
        <v>207</v>
      </c>
      <c r="B142" s="2" t="s">
        <v>337</v>
      </c>
      <c r="C142" s="2">
        <v>27</v>
      </c>
      <c r="D142" s="2" t="s">
        <v>34</v>
      </c>
      <c r="E142" s="2" t="s">
        <v>105</v>
      </c>
      <c r="F142" s="2" t="s">
        <v>30</v>
      </c>
      <c r="G142" s="2" t="s">
        <v>23</v>
      </c>
      <c r="H142" s="3">
        <v>45612</v>
      </c>
      <c r="I142" s="3">
        <v>44986</v>
      </c>
      <c r="J142" s="2">
        <v>3000</v>
      </c>
      <c r="K142" s="2">
        <v>1000</v>
      </c>
      <c r="L142" s="2">
        <v>2000</v>
      </c>
      <c r="M142" s="2" t="s">
        <v>42</v>
      </c>
      <c r="N142" s="2" t="s">
        <v>38</v>
      </c>
      <c r="O142" s="2">
        <v>0</v>
      </c>
      <c r="P142" s="2">
        <v>44</v>
      </c>
      <c r="Q142" s="2" t="s">
        <v>52</v>
      </c>
      <c r="R142" s="2">
        <v>0</v>
      </c>
    </row>
    <row r="143" spans="1:18" x14ac:dyDescent="0.3">
      <c r="A143" s="2" t="s">
        <v>150</v>
      </c>
      <c r="B143" s="2" t="s">
        <v>284</v>
      </c>
      <c r="C143" s="2">
        <v>22</v>
      </c>
      <c r="D143" s="2" t="s">
        <v>90</v>
      </c>
      <c r="E143" s="2" t="s">
        <v>105</v>
      </c>
      <c r="F143" s="2" t="s">
        <v>78</v>
      </c>
      <c r="G143" s="2" t="s">
        <v>79</v>
      </c>
      <c r="H143" s="3">
        <v>45487</v>
      </c>
      <c r="I143" s="3">
        <v>45563</v>
      </c>
      <c r="J143" s="2">
        <v>6000</v>
      </c>
      <c r="K143" s="2">
        <v>0</v>
      </c>
      <c r="L143" s="2">
        <v>6000</v>
      </c>
      <c r="M143" s="2" t="s">
        <v>42</v>
      </c>
      <c r="N143" s="2" t="s">
        <v>52</v>
      </c>
      <c r="O143" s="2">
        <v>2</v>
      </c>
      <c r="P143" s="2">
        <v>41</v>
      </c>
      <c r="Q143" s="2" t="s">
        <v>48</v>
      </c>
      <c r="R143" s="2">
        <v>0</v>
      </c>
    </row>
    <row r="144" spans="1:18" x14ac:dyDescent="0.3">
      <c r="A144" s="2" t="s">
        <v>242</v>
      </c>
      <c r="B144" s="2" t="s">
        <v>372</v>
      </c>
      <c r="C144" s="2">
        <v>25</v>
      </c>
      <c r="D144" s="2" t="s">
        <v>90</v>
      </c>
      <c r="E144" s="2" t="s">
        <v>146</v>
      </c>
      <c r="F144" s="2" t="s">
        <v>88</v>
      </c>
      <c r="G144" s="2" t="s">
        <v>37</v>
      </c>
      <c r="H144" s="3">
        <v>45476</v>
      </c>
      <c r="I144" s="3">
        <v>45595</v>
      </c>
      <c r="J144" s="2">
        <v>6000</v>
      </c>
      <c r="K144" s="2">
        <v>0</v>
      </c>
      <c r="L144" s="2">
        <v>6000</v>
      </c>
      <c r="M144" s="2" t="s">
        <v>42</v>
      </c>
      <c r="N144" s="2" t="s">
        <v>31</v>
      </c>
      <c r="O144" s="2">
        <v>0</v>
      </c>
      <c r="P144" s="2">
        <v>49</v>
      </c>
      <c r="Q144" s="2" t="s">
        <v>25</v>
      </c>
      <c r="R144" s="2">
        <v>1</v>
      </c>
    </row>
    <row r="145" spans="1:18" x14ac:dyDescent="0.3">
      <c r="A145" s="2" t="s">
        <v>39</v>
      </c>
      <c r="B145" s="2" t="s">
        <v>19</v>
      </c>
      <c r="C145" s="2">
        <v>29</v>
      </c>
      <c r="D145" s="2" t="s">
        <v>90</v>
      </c>
      <c r="E145" s="2" t="s">
        <v>41</v>
      </c>
      <c r="F145" s="2" t="s">
        <v>22</v>
      </c>
      <c r="G145" s="2" t="s">
        <v>23</v>
      </c>
      <c r="H145" s="3">
        <v>45484</v>
      </c>
      <c r="I145" s="3">
        <v>45684</v>
      </c>
      <c r="J145" s="2">
        <v>4000</v>
      </c>
      <c r="K145" s="2">
        <v>500</v>
      </c>
      <c r="L145" s="2">
        <v>3500</v>
      </c>
      <c r="M145" s="2" t="s">
        <v>42</v>
      </c>
      <c r="N145" s="2" t="s">
        <v>31</v>
      </c>
      <c r="O145" s="2">
        <v>4</v>
      </c>
      <c r="P145" s="2">
        <v>20</v>
      </c>
      <c r="Q145" s="2" t="s">
        <v>25</v>
      </c>
      <c r="R145" s="2">
        <v>0</v>
      </c>
    </row>
    <row r="146" spans="1:18" x14ac:dyDescent="0.3">
      <c r="A146" s="2" t="s">
        <v>124</v>
      </c>
      <c r="B146" s="2" t="s">
        <v>266</v>
      </c>
      <c r="C146" s="2">
        <v>19</v>
      </c>
      <c r="D146" s="2" t="s">
        <v>90</v>
      </c>
      <c r="E146" s="2" t="s">
        <v>54</v>
      </c>
      <c r="F146" s="2" t="s">
        <v>22</v>
      </c>
      <c r="G146" s="2" t="s">
        <v>23</v>
      </c>
      <c r="H146" s="3">
        <v>45498</v>
      </c>
      <c r="I146" s="3">
        <v>45637</v>
      </c>
      <c r="J146" s="2">
        <v>5000</v>
      </c>
      <c r="K146" s="2">
        <v>0</v>
      </c>
      <c r="L146" s="2">
        <v>5000</v>
      </c>
      <c r="M146" s="2" t="s">
        <v>42</v>
      </c>
      <c r="N146" s="2" t="s">
        <v>52</v>
      </c>
      <c r="O146" s="2">
        <v>4</v>
      </c>
      <c r="P146" s="2">
        <v>23</v>
      </c>
      <c r="Q146" s="2" t="s">
        <v>48</v>
      </c>
      <c r="R146" s="2">
        <v>63</v>
      </c>
    </row>
    <row r="147" spans="1:18" x14ac:dyDescent="0.3">
      <c r="A147" s="2" t="s">
        <v>217</v>
      </c>
      <c r="B147" s="2" t="s">
        <v>347</v>
      </c>
      <c r="C147" s="2">
        <v>28</v>
      </c>
      <c r="D147" s="2" t="s">
        <v>90</v>
      </c>
      <c r="E147" s="2" t="s">
        <v>35</v>
      </c>
      <c r="F147" s="2" t="s">
        <v>78</v>
      </c>
      <c r="G147" s="2" t="s">
        <v>79</v>
      </c>
      <c r="H147" s="3">
        <v>45319</v>
      </c>
      <c r="I147" s="3">
        <v>45331</v>
      </c>
      <c r="J147" s="2">
        <v>6000</v>
      </c>
      <c r="K147" s="2">
        <v>0</v>
      </c>
      <c r="L147" s="2">
        <v>6000</v>
      </c>
      <c r="M147" s="2" t="s">
        <v>24</v>
      </c>
      <c r="N147" s="2" t="s">
        <v>71</v>
      </c>
      <c r="O147" s="2">
        <v>0</v>
      </c>
      <c r="P147" s="2">
        <v>49</v>
      </c>
      <c r="Q147" s="2" t="s">
        <v>31</v>
      </c>
      <c r="R147" s="2">
        <v>0</v>
      </c>
    </row>
    <row r="148" spans="1:18" x14ac:dyDescent="0.3">
      <c r="A148" s="2" t="s">
        <v>26</v>
      </c>
      <c r="B148" s="2" t="s">
        <v>138</v>
      </c>
      <c r="C148" s="2">
        <v>25</v>
      </c>
      <c r="D148" s="2" t="s">
        <v>28</v>
      </c>
      <c r="E148" s="2" t="s">
        <v>29</v>
      </c>
      <c r="F148" s="2" t="s">
        <v>30</v>
      </c>
      <c r="G148" s="2" t="s">
        <v>23</v>
      </c>
      <c r="H148" s="3">
        <v>45649</v>
      </c>
      <c r="I148" s="3">
        <v>45703</v>
      </c>
      <c r="J148" s="2">
        <v>4000</v>
      </c>
      <c r="K148" s="2">
        <v>500</v>
      </c>
      <c r="L148" s="2">
        <v>3500</v>
      </c>
      <c r="M148" s="2" t="s">
        <v>42</v>
      </c>
      <c r="N148" s="2" t="s">
        <v>31</v>
      </c>
      <c r="O148" s="2">
        <v>0</v>
      </c>
      <c r="P148" s="2">
        <v>6</v>
      </c>
      <c r="Q148" s="2" t="s">
        <v>31</v>
      </c>
      <c r="R148" s="2">
        <v>44</v>
      </c>
    </row>
    <row r="149" spans="1:18" x14ac:dyDescent="0.3">
      <c r="A149" s="2" t="s">
        <v>155</v>
      </c>
      <c r="B149" s="2" t="s">
        <v>289</v>
      </c>
      <c r="C149" s="2">
        <v>32</v>
      </c>
      <c r="D149" s="2" t="s">
        <v>90</v>
      </c>
      <c r="E149" s="2" t="s">
        <v>87</v>
      </c>
      <c r="F149" s="2" t="s">
        <v>66</v>
      </c>
      <c r="G149" s="2" t="s">
        <v>37</v>
      </c>
      <c r="H149" s="3">
        <v>45431</v>
      </c>
      <c r="I149" s="3">
        <v>45458</v>
      </c>
      <c r="J149" s="2">
        <v>5000</v>
      </c>
      <c r="K149" s="2">
        <v>500</v>
      </c>
      <c r="L149" s="2">
        <v>4500</v>
      </c>
      <c r="M149" s="2" t="s">
        <v>24</v>
      </c>
      <c r="N149" s="2" t="s">
        <v>31</v>
      </c>
      <c r="O149" s="2">
        <v>8</v>
      </c>
      <c r="P149" s="2">
        <v>42</v>
      </c>
      <c r="Q149" s="2" t="s">
        <v>31</v>
      </c>
      <c r="R149" s="2">
        <v>0</v>
      </c>
    </row>
    <row r="150" spans="1:18" x14ac:dyDescent="0.3">
      <c r="A150" s="2" t="s">
        <v>75</v>
      </c>
      <c r="B150" s="2" t="s">
        <v>249</v>
      </c>
      <c r="C150" s="2">
        <v>22</v>
      </c>
      <c r="D150" s="2" t="s">
        <v>50</v>
      </c>
      <c r="E150" s="2" t="s">
        <v>76</v>
      </c>
      <c r="F150" s="2" t="s">
        <v>36</v>
      </c>
      <c r="G150" s="2" t="s">
        <v>37</v>
      </c>
      <c r="H150" s="3">
        <v>45372</v>
      </c>
      <c r="I150" s="3">
        <v>45428</v>
      </c>
      <c r="J150" s="2">
        <v>7000</v>
      </c>
      <c r="K150" s="2">
        <v>0</v>
      </c>
      <c r="L150" s="2">
        <v>7000</v>
      </c>
      <c r="M150" s="2" t="s">
        <v>24</v>
      </c>
      <c r="N150" s="2" t="s">
        <v>38</v>
      </c>
      <c r="O150" s="2">
        <v>5</v>
      </c>
      <c r="P150" s="2">
        <v>6</v>
      </c>
      <c r="Q150" s="2" t="s">
        <v>48</v>
      </c>
      <c r="R150" s="2">
        <v>16</v>
      </c>
    </row>
    <row r="151" spans="1:18" x14ac:dyDescent="0.3">
      <c r="A151" s="2" t="s">
        <v>231</v>
      </c>
      <c r="B151" s="2" t="s">
        <v>361</v>
      </c>
      <c r="C151" s="2">
        <v>23</v>
      </c>
      <c r="D151" s="2" t="s">
        <v>90</v>
      </c>
      <c r="E151" s="2" t="s">
        <v>132</v>
      </c>
      <c r="F151" s="2" t="s">
        <v>78</v>
      </c>
      <c r="G151" s="2" t="s">
        <v>79</v>
      </c>
      <c r="H151" s="3">
        <v>45522</v>
      </c>
      <c r="I151" s="3">
        <v>45601</v>
      </c>
      <c r="J151" s="2">
        <v>3000</v>
      </c>
      <c r="K151" s="2">
        <v>500</v>
      </c>
      <c r="L151" s="2">
        <v>2500</v>
      </c>
      <c r="M151" s="2" t="s">
        <v>24</v>
      </c>
      <c r="N151" s="2" t="s">
        <v>48</v>
      </c>
      <c r="O151" s="2">
        <v>9</v>
      </c>
      <c r="P151" s="2">
        <v>41</v>
      </c>
      <c r="Q151" s="2" t="s">
        <v>52</v>
      </c>
      <c r="R151" s="2">
        <v>0</v>
      </c>
    </row>
  </sheetData>
  <conditionalFormatting sqref="B1">
    <cfRule type="duplicateValues" dxfId="2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D56F-D23B-47C8-AC5F-2A4DFAB2B5E7}">
  <dimension ref="A1:T151"/>
  <sheetViews>
    <sheetView zoomScaleNormal="100" workbookViewId="0"/>
  </sheetViews>
  <sheetFormatPr defaultRowHeight="14.4" x14ac:dyDescent="0.3"/>
  <cols>
    <col min="2" max="2" width="12.109375" customWidth="1"/>
    <col min="3" max="3" width="16.109375" customWidth="1"/>
    <col min="4" max="4" width="7.109375" customWidth="1"/>
    <col min="5" max="5" width="10.21875" customWidth="1"/>
    <col min="6" max="6" width="11.33203125" customWidth="1"/>
    <col min="7" max="7" width="29.33203125" customWidth="1"/>
    <col min="8" max="8" width="17.6640625" customWidth="1"/>
    <col min="9" max="9" width="17.77734375" customWidth="1"/>
    <col min="10" max="10" width="15.44140625" customWidth="1"/>
    <col min="12" max="12" width="17.33203125" customWidth="1"/>
    <col min="13" max="13" width="14.21875" customWidth="1"/>
    <col min="14" max="14" width="18.5546875" customWidth="1"/>
    <col min="15" max="15" width="15" customWidth="1"/>
    <col min="16" max="16" width="18.77734375" customWidth="1"/>
    <col min="17" max="17" width="17.6640625" customWidth="1"/>
    <col min="18" max="18" width="24" customWidth="1"/>
    <col min="19" max="19" width="15" customWidth="1"/>
    <col min="20" max="20" width="18.33203125" customWidth="1"/>
  </cols>
  <sheetData>
    <row r="1" spans="1:20" x14ac:dyDescent="0.3">
      <c r="A1" t="s">
        <v>375</v>
      </c>
      <c r="B1" t="s">
        <v>374</v>
      </c>
      <c r="C1" t="s">
        <v>376</v>
      </c>
      <c r="D1" t="s">
        <v>2</v>
      </c>
      <c r="E1" t="s">
        <v>3</v>
      </c>
      <c r="F1" t="s">
        <v>4</v>
      </c>
      <c r="G1" t="s">
        <v>377</v>
      </c>
      <c r="H1" t="s">
        <v>378</v>
      </c>
      <c r="I1" t="s">
        <v>379</v>
      </c>
      <c r="J1" t="s">
        <v>380</v>
      </c>
      <c r="K1" t="s">
        <v>382</v>
      </c>
      <c r="L1" t="s">
        <v>381</v>
      </c>
      <c r="M1" t="s">
        <v>383</v>
      </c>
      <c r="N1" t="s">
        <v>385</v>
      </c>
      <c r="O1" t="s">
        <v>384</v>
      </c>
      <c r="P1" t="s">
        <v>386</v>
      </c>
      <c r="Q1" t="s">
        <v>387</v>
      </c>
      <c r="R1" t="s">
        <v>388</v>
      </c>
      <c r="S1" t="s">
        <v>389</v>
      </c>
      <c r="T1" t="s">
        <v>390</v>
      </c>
    </row>
    <row r="2" spans="1:20" x14ac:dyDescent="0.3">
      <c r="A2">
        <v>1</v>
      </c>
      <c r="B2" t="str">
        <f>Raw_data[[#This Row],[Student_ID]]</f>
        <v>S1021</v>
      </c>
      <c r="C2" t="str">
        <f>TRIM(PROPER(Raw_data[[#This Row],[Student_Name]]))</f>
        <v>Aadhya Mehta</v>
      </c>
      <c r="D2">
        <f>Raw_data[[#This Row],[Age]]</f>
        <v>21</v>
      </c>
      <c r="E2" t="str">
        <f>TRIM(PROPER(Raw_data[[#This Row],[Gender]]))</f>
        <v>Female</v>
      </c>
      <c r="F2" t="str">
        <f>TRIM(PROPER(Raw_data[[#This Row],[City]]))</f>
        <v>Chandigarh</v>
      </c>
      <c r="G2" t="str">
        <f>TRIM(PROPER(Raw_data[[#This Row],[Course_Name]]))</f>
        <v>Data Analytics Bootcamp</v>
      </c>
      <c r="H2" t="str">
        <f>TRIM(PROPER(Raw_data[[#This Row],[Course_Category]]))</f>
        <v>Analytics</v>
      </c>
      <c r="I2" s="1">
        <f>Raw_data[[#This Row],[Enrollment_Date]]</f>
        <v>45347</v>
      </c>
      <c r="J2" s="1">
        <f>Raw_data[[#This Row],[Last_Login_Date]]</f>
        <v>45423</v>
      </c>
      <c r="K2">
        <f>Raw_data[[#This Row],[Course_Price]]</f>
        <v>5000</v>
      </c>
      <c r="L2">
        <f>Raw_data[[#This Row],[Discount_Applied]]</f>
        <v>1000</v>
      </c>
      <c r="M2">
        <f>Raw_data[[#This Row],[Amount_Paid]]</f>
        <v>4000</v>
      </c>
      <c r="N2" t="str">
        <f>TRIM(PROPER(Raw_data[[#This Row],[Completion_Status]]))</f>
        <v>Churned</v>
      </c>
      <c r="O2" t="str">
        <f>TRIM(PROPER(Raw_data[[#This Row],[Refund_Issued]]))</f>
        <v>Yes</v>
      </c>
      <c r="P2">
        <f>Raw_data[[#This Row],[Engagement_Score]]</f>
        <v>0</v>
      </c>
      <c r="Q2">
        <f>Raw_data[[#This Row],[Videos_Watched]]</f>
        <v>36</v>
      </c>
      <c r="R2" t="str">
        <f>TRIM(PROPER(Raw_data[[#This Row],[Assignments_Completed]]))</f>
        <v>No</v>
      </c>
      <c r="S2">
        <f>Raw_data[[#This Row],[Days_Inactive]]</f>
        <v>5</v>
      </c>
      <c r="T2">
        <f>Studentdata[[#This Row],[Course price]]-Studentdata[[#This Row],[Amount paid]]</f>
        <v>1000</v>
      </c>
    </row>
    <row r="3" spans="1:20" x14ac:dyDescent="0.3">
      <c r="A3">
        <v>2</v>
      </c>
      <c r="B3" t="str">
        <f>Raw_data[[#This Row],[Student_ID]]</f>
        <v>S1025</v>
      </c>
      <c r="C3" t="str">
        <f>TRIM(PROPER(Raw_data[[#This Row],[Student_Name]]))</f>
        <v>Aanya Chatterjee</v>
      </c>
      <c r="D3">
        <f>Raw_data[[#This Row],[Age]]</f>
        <v>30</v>
      </c>
      <c r="E3" t="str">
        <f>TRIM(PROPER(Raw_data[[#This Row],[Gender]]))</f>
        <v>Female</v>
      </c>
      <c r="F3" t="str">
        <f>TRIM(PROPER(Raw_data[[#This Row],[City]]))</f>
        <v>Delhi</v>
      </c>
      <c r="G3" t="str">
        <f>TRIM(PROPER(Raw_data[[#This Row],[Course_Name]]))</f>
        <v>Business Analysis Fundamentals</v>
      </c>
      <c r="H3" t="str">
        <f>TRIM(PROPER(Raw_data[[#This Row],[Course_Category]]))</f>
        <v>Analytics</v>
      </c>
      <c r="I3" s="1">
        <f>Raw_data[[#This Row],[Enrollment_Date]]</f>
        <v>45404</v>
      </c>
      <c r="J3" s="1">
        <f>Raw_data[[#This Row],[Last_Login_Date]]</f>
        <v>44978</v>
      </c>
      <c r="K3">
        <f>Raw_data[[#This Row],[Course_Price]]</f>
        <v>3000</v>
      </c>
      <c r="L3">
        <f>Raw_data[[#This Row],[Discount_Applied]]</f>
        <v>0</v>
      </c>
      <c r="M3">
        <f>Raw_data[[#This Row],[Amount_Paid]]</f>
        <v>3000</v>
      </c>
      <c r="N3" t="str">
        <f>TRIM(PROPER(Raw_data[[#This Row],[Completion_Status]]))</f>
        <v>Completed</v>
      </c>
      <c r="O3" t="str">
        <f>TRIM(PROPER(Raw_data[[#This Row],[Refund_Issued]]))</f>
        <v>Yes</v>
      </c>
      <c r="P3">
        <f>Raw_data[[#This Row],[Engagement_Score]]</f>
        <v>0</v>
      </c>
      <c r="Q3">
        <f>Raw_data[[#This Row],[Videos_Watched]]</f>
        <v>42</v>
      </c>
      <c r="R3" t="str">
        <f>TRIM(PROPER(Raw_data[[#This Row],[Assignments_Completed]]))</f>
        <v>No</v>
      </c>
      <c r="S3">
        <f>Raw_data[[#This Row],[Days_Inactive]]</f>
        <v>0</v>
      </c>
      <c r="T3">
        <f>Studentdata[[#This Row],[Course price]]-Studentdata[[#This Row],[Amount paid]]</f>
        <v>0</v>
      </c>
    </row>
    <row r="4" spans="1:20" x14ac:dyDescent="0.3">
      <c r="A4">
        <v>3</v>
      </c>
      <c r="B4" t="str">
        <f>Raw_data[[#This Row],[Student_ID]]</f>
        <v>S1001</v>
      </c>
      <c r="C4" t="str">
        <f>TRIM(PROPER(Raw_data[[#This Row],[Student_Name]]))</f>
        <v>Aarav Sharma</v>
      </c>
      <c r="D4">
        <f>Raw_data[[#This Row],[Age]]</f>
        <v>18</v>
      </c>
      <c r="E4" t="str">
        <f>TRIM(PROPER(Raw_data[[#This Row],[Gender]]))</f>
        <v>Male</v>
      </c>
      <c r="F4" t="str">
        <f>TRIM(PROPER(Raw_data[[#This Row],[City]]))</f>
        <v>Bangalore</v>
      </c>
      <c r="G4" t="str">
        <f>TRIM(PROPER(Raw_data[[#This Row],[Course_Name]]))</f>
        <v>Excel For Beginners</v>
      </c>
      <c r="H4" t="str">
        <f>TRIM(PROPER(Raw_data[[#This Row],[Course_Category]]))</f>
        <v>Productivity</v>
      </c>
      <c r="I4" s="1">
        <f>Raw_data[[#This Row],[Enrollment_Date]]</f>
        <v>45638</v>
      </c>
      <c r="J4" s="1">
        <f>Raw_data[[#This Row],[Last_Login_Date]]</f>
        <v>45732</v>
      </c>
      <c r="K4">
        <f>Raw_data[[#This Row],[Course_Price]]</f>
        <v>7000</v>
      </c>
      <c r="L4">
        <f>Raw_data[[#This Row],[Discount_Applied]]</f>
        <v>500</v>
      </c>
      <c r="M4">
        <f>Raw_data[[#This Row],[Amount_Paid]]</f>
        <v>6500</v>
      </c>
      <c r="N4" t="str">
        <f>TRIM(PROPER(Raw_data[[#This Row],[Completion_Status]]))</f>
        <v>Completed</v>
      </c>
      <c r="O4" t="str">
        <f>TRIM(PROPER(Raw_data[[#This Row],[Refund_Issued]]))</f>
        <v>Yes</v>
      </c>
      <c r="P4">
        <f>Raw_data[[#This Row],[Engagement_Score]]</f>
        <v>2</v>
      </c>
      <c r="Q4">
        <f>Raw_data[[#This Row],[Videos_Watched]]</f>
        <v>32</v>
      </c>
      <c r="R4" t="str">
        <f>TRIM(PROPER(Raw_data[[#This Row],[Assignments_Completed]]))</f>
        <v>No</v>
      </c>
      <c r="S4">
        <f>Raw_data[[#This Row],[Days_Inactive]]</f>
        <v>1</v>
      </c>
      <c r="T4">
        <f>Studentdata[[#This Row],[Course price]]-Studentdata[[#This Row],[Amount paid]]</f>
        <v>500</v>
      </c>
    </row>
    <row r="5" spans="1:20" x14ac:dyDescent="0.3">
      <c r="A5">
        <v>4</v>
      </c>
      <c r="B5" t="str">
        <f>Raw_data[[#This Row],[Student_ID]]</f>
        <v>S1144</v>
      </c>
      <c r="C5" t="str">
        <f>TRIM(PROPER(Raw_data[[#This Row],[Student_Name]]))</f>
        <v>Aaron Dsouza</v>
      </c>
      <c r="D5">
        <f>Raw_data[[#This Row],[Age]]</f>
        <v>33</v>
      </c>
      <c r="E5" t="str">
        <f>TRIM(PROPER(Raw_data[[#This Row],[Gender]]))</f>
        <v>Male</v>
      </c>
      <c r="F5" t="str">
        <f>TRIM(PROPER(Raw_data[[#This Row],[City]]))</f>
        <v>Mumbai</v>
      </c>
      <c r="G5" t="str">
        <f>TRIM(PROPER(Raw_data[[#This Row],[Course_Name]]))</f>
        <v>Digital Marketing Pro</v>
      </c>
      <c r="H5" t="str">
        <f>TRIM(PROPER(Raw_data[[#This Row],[Course_Category]]))</f>
        <v>Marketing</v>
      </c>
      <c r="I5" s="1">
        <f>Raw_data[[#This Row],[Enrollment_Date]]</f>
        <v>45536</v>
      </c>
      <c r="J5" s="1">
        <f>Raw_data[[#This Row],[Last_Login_Date]]</f>
        <v>44986</v>
      </c>
      <c r="K5">
        <f>Raw_data[[#This Row],[Course_Price]]</f>
        <v>6000</v>
      </c>
      <c r="L5">
        <f>Raw_data[[#This Row],[Discount_Applied]]</f>
        <v>0</v>
      </c>
      <c r="M5">
        <f>Raw_data[[#This Row],[Amount_Paid]]</f>
        <v>6000</v>
      </c>
      <c r="N5" t="str">
        <f>TRIM(PROPER(Raw_data[[#This Row],[Completion_Status]]))</f>
        <v>Churned</v>
      </c>
      <c r="O5" t="str">
        <f>TRIM(PROPER(Raw_data[[#This Row],[Refund_Issued]]))</f>
        <v>No</v>
      </c>
      <c r="P5">
        <f>Raw_data[[#This Row],[Engagement_Score]]</f>
        <v>3</v>
      </c>
      <c r="Q5">
        <f>Raw_data[[#This Row],[Videos_Watched]]</f>
        <v>17</v>
      </c>
      <c r="R5" t="str">
        <f>TRIM(PROPER(Raw_data[[#This Row],[Assignments_Completed]]))</f>
        <v>Yes</v>
      </c>
      <c r="S5">
        <f>Raw_data[[#This Row],[Days_Inactive]]</f>
        <v>0</v>
      </c>
      <c r="T5">
        <f>Studentdata[[#This Row],[Course price]]-Studentdata[[#This Row],[Amount paid]]</f>
        <v>0</v>
      </c>
    </row>
    <row r="6" spans="1:20" x14ac:dyDescent="0.3">
      <c r="A6">
        <v>5</v>
      </c>
      <c r="B6" t="str">
        <f>Raw_data[[#This Row],[Student_ID]]</f>
        <v>S1074</v>
      </c>
      <c r="C6" t="str">
        <f>TRIM(PROPER(Raw_data[[#This Row],[Student_Name]]))</f>
        <v>Aarti Yadav</v>
      </c>
      <c r="D6">
        <f>Raw_data[[#This Row],[Age]]</f>
        <v>28</v>
      </c>
      <c r="E6" t="str">
        <f>TRIM(PROPER(Raw_data[[#This Row],[Gender]]))</f>
        <v>Female</v>
      </c>
      <c r="F6" t="str">
        <f>TRIM(PROPER(Raw_data[[#This Row],[City]]))</f>
        <v>Chennai</v>
      </c>
      <c r="G6" t="str">
        <f>TRIM(PROPER(Raw_data[[#This Row],[Course_Name]]))</f>
        <v>Business Analysis Fundamentals</v>
      </c>
      <c r="H6" t="str">
        <f>TRIM(PROPER(Raw_data[[#This Row],[Course_Category]]))</f>
        <v>Analytics</v>
      </c>
      <c r="I6" s="1">
        <f>Raw_data[[#This Row],[Enrollment_Date]]</f>
        <v>45358</v>
      </c>
      <c r="J6" s="1">
        <f>Raw_data[[#This Row],[Last_Login_Date]]</f>
        <v>45434</v>
      </c>
      <c r="K6">
        <f>Raw_data[[#This Row],[Course_Price]]</f>
        <v>5000</v>
      </c>
      <c r="L6">
        <f>Raw_data[[#This Row],[Discount_Applied]]</f>
        <v>0</v>
      </c>
      <c r="M6">
        <f>Raw_data[[#This Row],[Amount_Paid]]</f>
        <v>5000</v>
      </c>
      <c r="N6" t="str">
        <f>TRIM(PROPER(Raw_data[[#This Row],[Completion_Status]]))</f>
        <v>Churned</v>
      </c>
      <c r="O6" t="str">
        <f>TRIM(PROPER(Raw_data[[#This Row],[Refund_Issued]]))</f>
        <v>No</v>
      </c>
      <c r="P6">
        <f>Raw_data[[#This Row],[Engagement_Score]]</f>
        <v>3</v>
      </c>
      <c r="Q6">
        <f>Raw_data[[#This Row],[Videos_Watched]]</f>
        <v>44</v>
      </c>
      <c r="R6" t="str">
        <f>TRIM(PROPER(Raw_data[[#This Row],[Assignments_Completed]]))</f>
        <v>No</v>
      </c>
      <c r="S6">
        <f>Raw_data[[#This Row],[Days_Inactive]]</f>
        <v>82</v>
      </c>
      <c r="T6">
        <f>Studentdata[[#This Row],[Course price]]-Studentdata[[#This Row],[Amount paid]]</f>
        <v>0</v>
      </c>
    </row>
    <row r="7" spans="1:20" x14ac:dyDescent="0.3">
      <c r="A7">
        <v>6</v>
      </c>
      <c r="B7" t="str">
        <f>Raw_data[[#This Row],[Student_ID]]</f>
        <v>S1070</v>
      </c>
      <c r="C7" t="str">
        <f>TRIM(PROPER(Raw_data[[#This Row],[Student_Name]]))</f>
        <v>Abhishek Sharma</v>
      </c>
      <c r="D7">
        <f>Raw_data[[#This Row],[Age]]</f>
        <v>22</v>
      </c>
      <c r="E7" t="str">
        <f>TRIM(PROPER(Raw_data[[#This Row],[Gender]]))</f>
        <v>Male</v>
      </c>
      <c r="F7" t="str">
        <f>TRIM(PROPER(Raw_data[[#This Row],[City]]))</f>
        <v>Chennai</v>
      </c>
      <c r="G7" t="str">
        <f>TRIM(PROPER(Raw_data[[#This Row],[Course_Name]]))</f>
        <v>Advanced Excel</v>
      </c>
      <c r="H7" t="str">
        <f>TRIM(PROPER(Raw_data[[#This Row],[Course_Category]]))</f>
        <v>Productivity</v>
      </c>
      <c r="I7" s="1">
        <f>Raw_data[[#This Row],[Enrollment_Date]]</f>
        <v>45600</v>
      </c>
      <c r="J7" s="1">
        <f>Raw_data[[#This Row],[Last_Login_Date]]</f>
        <v>45619</v>
      </c>
      <c r="K7">
        <f>Raw_data[[#This Row],[Course_Price]]</f>
        <v>4000</v>
      </c>
      <c r="L7">
        <f>Raw_data[[#This Row],[Discount_Applied]]</f>
        <v>500</v>
      </c>
      <c r="M7">
        <f>Raw_data[[#This Row],[Amount_Paid]]</f>
        <v>3500</v>
      </c>
      <c r="N7" t="str">
        <f>TRIM(PROPER(Raw_data[[#This Row],[Completion_Status]]))</f>
        <v>Churned</v>
      </c>
      <c r="O7" t="str">
        <f>TRIM(PROPER(Raw_data[[#This Row],[Refund_Issued]]))</f>
        <v>Yes</v>
      </c>
      <c r="P7">
        <f>Raw_data[[#This Row],[Engagement_Score]]</f>
        <v>8</v>
      </c>
      <c r="Q7">
        <f>Raw_data[[#This Row],[Videos_Watched]]</f>
        <v>36</v>
      </c>
      <c r="R7" t="str">
        <f>TRIM(PROPER(Raw_data[[#This Row],[Assignments_Completed]]))</f>
        <v>No</v>
      </c>
      <c r="S7">
        <f>Raw_data[[#This Row],[Days_Inactive]]</f>
        <v>0</v>
      </c>
      <c r="T7">
        <f>Studentdata[[#This Row],[Course price]]-Studentdata[[#This Row],[Amount paid]]</f>
        <v>500</v>
      </c>
    </row>
    <row r="8" spans="1:20" x14ac:dyDescent="0.3">
      <c r="A8">
        <v>7</v>
      </c>
      <c r="B8" t="str">
        <f>Raw_data[[#This Row],[Student_ID]]</f>
        <v>S1104</v>
      </c>
      <c r="C8" t="str">
        <f>TRIM(PROPER(Raw_data[[#This Row],[Student_Name]]))</f>
        <v>Adarsh Yadav</v>
      </c>
      <c r="D8">
        <f>Raw_data[[#This Row],[Age]]</f>
        <v>28</v>
      </c>
      <c r="E8" t="str">
        <f>TRIM(PROPER(Raw_data[[#This Row],[Gender]]))</f>
        <v>Male</v>
      </c>
      <c r="F8" t="str">
        <f>TRIM(PROPER(Raw_data[[#This Row],[City]]))</f>
        <v>Delhi</v>
      </c>
      <c r="G8" t="str">
        <f>TRIM(PROPER(Raw_data[[#This Row],[Course_Name]]))</f>
        <v>Sql Mastery</v>
      </c>
      <c r="H8" t="str">
        <f>TRIM(PROPER(Raw_data[[#This Row],[Course_Category]]))</f>
        <v>Analytics</v>
      </c>
      <c r="I8" s="1">
        <f>Raw_data[[#This Row],[Enrollment_Date]]</f>
        <v>45565</v>
      </c>
      <c r="J8" s="1">
        <f>Raw_data[[#This Row],[Last_Login_Date]]</f>
        <v>45689</v>
      </c>
      <c r="K8">
        <f>Raw_data[[#This Row],[Course_Price]]</f>
        <v>4000</v>
      </c>
      <c r="L8">
        <f>Raw_data[[#This Row],[Discount_Applied]]</f>
        <v>500</v>
      </c>
      <c r="M8">
        <f>Raw_data[[#This Row],[Amount_Paid]]</f>
        <v>3500</v>
      </c>
      <c r="N8" t="str">
        <f>TRIM(PROPER(Raw_data[[#This Row],[Completion_Status]]))</f>
        <v>Churned</v>
      </c>
      <c r="O8" t="str">
        <f>TRIM(PROPER(Raw_data[[#This Row],[Refund_Issued]]))</f>
        <v>No</v>
      </c>
      <c r="P8">
        <f>Raw_data[[#This Row],[Engagement_Score]]</f>
        <v>0</v>
      </c>
      <c r="Q8">
        <f>Raw_data[[#This Row],[Videos_Watched]]</f>
        <v>11</v>
      </c>
      <c r="R8" t="str">
        <f>TRIM(PROPER(Raw_data[[#This Row],[Assignments_Completed]]))</f>
        <v>Yes</v>
      </c>
      <c r="S8">
        <f>Raw_data[[#This Row],[Days_Inactive]]</f>
        <v>56</v>
      </c>
      <c r="T8">
        <f>Studentdata[[#This Row],[Course price]]-Studentdata[[#This Row],[Amount paid]]</f>
        <v>500</v>
      </c>
    </row>
    <row r="9" spans="1:20" x14ac:dyDescent="0.3">
      <c r="A9">
        <v>8</v>
      </c>
      <c r="B9" t="str">
        <f>Raw_data[[#This Row],[Student_ID]]</f>
        <v>S1003</v>
      </c>
      <c r="C9" t="str">
        <f>TRIM(PROPER(Raw_data[[#This Row],[Student_Name]]))</f>
        <v>Aditya Kumar</v>
      </c>
      <c r="D9">
        <f>Raw_data[[#This Row],[Age]]</f>
        <v>19</v>
      </c>
      <c r="E9" t="str">
        <f>TRIM(PROPER(Raw_data[[#This Row],[Gender]]))</f>
        <v>Male</v>
      </c>
      <c r="F9" t="str">
        <f>TRIM(PROPER(Raw_data[[#This Row],[City]]))</f>
        <v>Mumbai</v>
      </c>
      <c r="G9" t="str">
        <f>TRIM(PROPER(Raw_data[[#This Row],[Course_Name]]))</f>
        <v>Power Bi Complete Guide</v>
      </c>
      <c r="H9" t="str">
        <f>TRIM(PROPER(Raw_data[[#This Row],[Course_Category]]))</f>
        <v>Analytics</v>
      </c>
      <c r="I9" s="1">
        <f>Raw_data[[#This Row],[Enrollment_Date]]</f>
        <v>45613</v>
      </c>
      <c r="J9" s="1">
        <f>Raw_data[[#This Row],[Last_Login_Date]]</f>
        <v>45692</v>
      </c>
      <c r="K9">
        <f>Raw_data[[#This Row],[Course_Price]]</f>
        <v>5000</v>
      </c>
      <c r="L9">
        <f>Raw_data[[#This Row],[Discount_Applied]]</f>
        <v>0</v>
      </c>
      <c r="M9">
        <f>Raw_data[[#This Row],[Amount_Paid]]</f>
        <v>5000</v>
      </c>
      <c r="N9" t="str">
        <f>TRIM(PROPER(Raw_data[[#This Row],[Completion_Status]]))</f>
        <v>Completed</v>
      </c>
      <c r="O9" t="str">
        <f>TRIM(PROPER(Raw_data[[#This Row],[Refund_Issued]]))</f>
        <v>No</v>
      </c>
      <c r="P9">
        <f>Raw_data[[#This Row],[Engagement_Score]]</f>
        <v>4</v>
      </c>
      <c r="Q9">
        <f>Raw_data[[#This Row],[Videos_Watched]]</f>
        <v>14</v>
      </c>
      <c r="R9" t="str">
        <f>TRIM(PROPER(Raw_data[[#This Row],[Assignments_Completed]]))</f>
        <v>Yes</v>
      </c>
      <c r="S9">
        <f>Raw_data[[#This Row],[Days_Inactive]]</f>
        <v>0</v>
      </c>
      <c r="T9">
        <f>Studentdata[[#This Row],[Course price]]-Studentdata[[#This Row],[Amount paid]]</f>
        <v>0</v>
      </c>
    </row>
    <row r="10" spans="1:20" x14ac:dyDescent="0.3">
      <c r="A10">
        <v>9</v>
      </c>
      <c r="B10" t="str">
        <f>Raw_data[[#This Row],[Student_ID]]</f>
        <v>S1150</v>
      </c>
      <c r="C10" t="str">
        <f>TRIM(PROPER(Raw_data[[#This Row],[Student_Name]]))</f>
        <v>Adrian Dsouza</v>
      </c>
      <c r="D10">
        <f>Raw_data[[#This Row],[Age]]</f>
        <v>26</v>
      </c>
      <c r="E10" t="str">
        <f>TRIM(PROPER(Raw_data[[#This Row],[Gender]]))</f>
        <v>Male</v>
      </c>
      <c r="F10" t="str">
        <f>TRIM(PROPER(Raw_data[[#This Row],[City]]))</f>
        <v>Kolkata</v>
      </c>
      <c r="G10" t="str">
        <f>TRIM(PROPER(Raw_data[[#This Row],[Course_Name]]))</f>
        <v>Power Bi Complete Guide</v>
      </c>
      <c r="H10" t="str">
        <f>TRIM(PROPER(Raw_data[[#This Row],[Course_Category]]))</f>
        <v>Analytics</v>
      </c>
      <c r="I10" s="1">
        <f>Raw_data[[#This Row],[Enrollment_Date]]</f>
        <v>45613</v>
      </c>
      <c r="J10" s="1">
        <f>Raw_data[[#This Row],[Last_Login_Date]]</f>
        <v>44986</v>
      </c>
      <c r="K10">
        <f>Raw_data[[#This Row],[Course_Price]]</f>
        <v>6000</v>
      </c>
      <c r="L10">
        <f>Raw_data[[#This Row],[Discount_Applied]]</f>
        <v>500</v>
      </c>
      <c r="M10">
        <f>Raw_data[[#This Row],[Amount_Paid]]</f>
        <v>5500</v>
      </c>
      <c r="N10" t="str">
        <f>TRIM(PROPER(Raw_data[[#This Row],[Completion_Status]]))</f>
        <v>Completed</v>
      </c>
      <c r="O10" t="str">
        <f>TRIM(PROPER(Raw_data[[#This Row],[Refund_Issued]]))</f>
        <v>No</v>
      </c>
      <c r="P10">
        <f>Raw_data[[#This Row],[Engagement_Score]]</f>
        <v>9</v>
      </c>
      <c r="Q10">
        <f>Raw_data[[#This Row],[Videos_Watched]]</f>
        <v>9</v>
      </c>
      <c r="R10" t="str">
        <f>TRIM(PROPER(Raw_data[[#This Row],[Assignments_Completed]]))</f>
        <v>Yes</v>
      </c>
      <c r="S10">
        <f>Raw_data[[#This Row],[Days_Inactive]]</f>
        <v>5</v>
      </c>
      <c r="T10">
        <f>Studentdata[[#This Row],[Course price]]-Studentdata[[#This Row],[Amount paid]]</f>
        <v>500</v>
      </c>
    </row>
    <row r="11" spans="1:20" x14ac:dyDescent="0.3">
      <c r="A11">
        <v>10</v>
      </c>
      <c r="B11" t="str">
        <f>Raw_data[[#This Row],[Student_ID]]</f>
        <v>S1065</v>
      </c>
      <c r="C11" t="str">
        <f>TRIM(PROPER(Raw_data[[#This Row],[Student_Name]]))</f>
        <v>Ajay Verma</v>
      </c>
      <c r="D11">
        <f>Raw_data[[#This Row],[Age]]</f>
        <v>20</v>
      </c>
      <c r="E11" t="str">
        <f>TRIM(PROPER(Raw_data[[#This Row],[Gender]]))</f>
        <v>Male</v>
      </c>
      <c r="F11" t="str">
        <f>TRIM(PROPER(Raw_data[[#This Row],[City]]))</f>
        <v>Jaipur</v>
      </c>
      <c r="G11" t="str">
        <f>TRIM(PROPER(Raw_data[[#This Row],[Course_Name]]))</f>
        <v>Business Analysis Fundamentals</v>
      </c>
      <c r="H11" t="str">
        <f>TRIM(PROPER(Raw_data[[#This Row],[Course_Category]]))</f>
        <v>Analytics</v>
      </c>
      <c r="I11" s="1">
        <f>Raw_data[[#This Row],[Enrollment_Date]]</f>
        <v>45506</v>
      </c>
      <c r="J11" s="1">
        <f>Raw_data[[#This Row],[Last_Login_Date]]</f>
        <v>45564</v>
      </c>
      <c r="K11">
        <f>Raw_data[[#This Row],[Course_Price]]</f>
        <v>5000</v>
      </c>
      <c r="L11">
        <f>Raw_data[[#This Row],[Discount_Applied]]</f>
        <v>1000</v>
      </c>
      <c r="M11">
        <f>Raw_data[[#This Row],[Amount_Paid]]</f>
        <v>4000</v>
      </c>
      <c r="N11" t="str">
        <f>TRIM(PROPER(Raw_data[[#This Row],[Completion_Status]]))</f>
        <v>Churned</v>
      </c>
      <c r="O11" t="str">
        <f>TRIM(PROPER(Raw_data[[#This Row],[Refund_Issued]]))</f>
        <v>Yes</v>
      </c>
      <c r="P11">
        <f>Raw_data[[#This Row],[Engagement_Score]]</f>
        <v>10</v>
      </c>
      <c r="Q11">
        <f>Raw_data[[#This Row],[Videos_Watched]]</f>
        <v>3</v>
      </c>
      <c r="R11" t="str">
        <f>TRIM(PROPER(Raw_data[[#This Row],[Assignments_Completed]]))</f>
        <v>No</v>
      </c>
      <c r="S11">
        <f>Raw_data[[#This Row],[Days_Inactive]]</f>
        <v>10</v>
      </c>
      <c r="T11">
        <f>Studentdata[[#This Row],[Course price]]-Studentdata[[#This Row],[Amount paid]]</f>
        <v>1000</v>
      </c>
    </row>
    <row r="12" spans="1:20" x14ac:dyDescent="0.3">
      <c r="A12">
        <v>11</v>
      </c>
      <c r="B12" t="str">
        <f>Raw_data[[#This Row],[Student_ID]]</f>
        <v>S1089</v>
      </c>
      <c r="C12" t="str">
        <f>TRIM(PROPER(Raw_data[[#This Row],[Student_Name]]))</f>
        <v>Akash Agarwal</v>
      </c>
      <c r="D12">
        <f>Raw_data[[#This Row],[Age]]</f>
        <v>29</v>
      </c>
      <c r="E12" t="str">
        <f>TRIM(PROPER(Raw_data[[#This Row],[Gender]]))</f>
        <v>Male</v>
      </c>
      <c r="F12" t="str">
        <f>TRIM(PROPER(Raw_data[[#This Row],[City]]))</f>
        <v>Hyderabad</v>
      </c>
      <c r="G12" t="str">
        <f>TRIM(PROPER(Raw_data[[#This Row],[Course_Name]]))</f>
        <v>Sql Mastery</v>
      </c>
      <c r="H12" t="str">
        <f>TRIM(PROPER(Raw_data[[#This Row],[Course_Category]]))</f>
        <v>Analytics</v>
      </c>
      <c r="I12" s="1">
        <f>Raw_data[[#This Row],[Enrollment_Date]]</f>
        <v>45544</v>
      </c>
      <c r="J12" s="1">
        <f>Raw_data[[#This Row],[Last_Login_Date]]</f>
        <v>45547</v>
      </c>
      <c r="K12">
        <f>Raw_data[[#This Row],[Course_Price]]</f>
        <v>6000</v>
      </c>
      <c r="L12">
        <f>Raw_data[[#This Row],[Discount_Applied]]</f>
        <v>0</v>
      </c>
      <c r="M12">
        <f>Raw_data[[#This Row],[Amount_Paid]]</f>
        <v>6000</v>
      </c>
      <c r="N12" t="str">
        <f>TRIM(PROPER(Raw_data[[#This Row],[Completion_Status]]))</f>
        <v>Completed</v>
      </c>
      <c r="O12" t="str">
        <f>TRIM(PROPER(Raw_data[[#This Row],[Refund_Issued]]))</f>
        <v>Yes</v>
      </c>
      <c r="P12">
        <f>Raw_data[[#This Row],[Engagement_Score]]</f>
        <v>0</v>
      </c>
      <c r="Q12">
        <f>Raw_data[[#This Row],[Videos_Watched]]</f>
        <v>25</v>
      </c>
      <c r="R12" t="str">
        <f>TRIM(PROPER(Raw_data[[#This Row],[Assignments_Completed]]))</f>
        <v>No</v>
      </c>
      <c r="S12">
        <f>Raw_data[[#This Row],[Days_Inactive]]</f>
        <v>0</v>
      </c>
      <c r="T12">
        <f>Studentdata[[#This Row],[Course price]]-Studentdata[[#This Row],[Amount paid]]</f>
        <v>0</v>
      </c>
    </row>
    <row r="13" spans="1:20" x14ac:dyDescent="0.3">
      <c r="A13">
        <v>12</v>
      </c>
      <c r="B13" t="str">
        <f>Raw_data[[#This Row],[Student_ID]]</f>
        <v>S1077</v>
      </c>
      <c r="C13" t="str">
        <f>TRIM(PROPER(Raw_data[[#This Row],[Student_Name]]))</f>
        <v>Alisha Mishra</v>
      </c>
      <c r="D13">
        <f>Raw_data[[#This Row],[Age]]</f>
        <v>32</v>
      </c>
      <c r="E13" t="str">
        <f>TRIM(PROPER(Raw_data[[#This Row],[Gender]]))</f>
        <v>Female</v>
      </c>
      <c r="F13" t="str">
        <f>TRIM(PROPER(Raw_data[[#This Row],[City]]))</f>
        <v>Jaipur</v>
      </c>
      <c r="G13" t="str">
        <f>TRIM(PROPER(Raw_data[[#This Row],[Course_Name]]))</f>
        <v>Business Analysis Fundamentals</v>
      </c>
      <c r="H13" t="str">
        <f>TRIM(PROPER(Raw_data[[#This Row],[Course_Category]]))</f>
        <v>Analytics</v>
      </c>
      <c r="I13" s="1">
        <f>Raw_data[[#This Row],[Enrollment_Date]]</f>
        <v>45374</v>
      </c>
      <c r="J13" s="1">
        <f>Raw_data[[#This Row],[Last_Login_Date]]</f>
        <v>45478</v>
      </c>
      <c r="K13">
        <f>Raw_data[[#This Row],[Course_Price]]</f>
        <v>6000</v>
      </c>
      <c r="L13">
        <f>Raw_data[[#This Row],[Discount_Applied]]</f>
        <v>1000</v>
      </c>
      <c r="M13">
        <f>Raw_data[[#This Row],[Amount_Paid]]</f>
        <v>5000</v>
      </c>
      <c r="N13" t="str">
        <f>TRIM(PROPER(Raw_data[[#This Row],[Completion_Status]]))</f>
        <v>Completed</v>
      </c>
      <c r="O13" t="str">
        <f>TRIM(PROPER(Raw_data[[#This Row],[Refund_Issued]]))</f>
        <v>No</v>
      </c>
      <c r="P13">
        <f>Raw_data[[#This Row],[Engagement_Score]]</f>
        <v>6</v>
      </c>
      <c r="Q13">
        <f>Raw_data[[#This Row],[Videos_Watched]]</f>
        <v>6</v>
      </c>
      <c r="R13" t="str">
        <f>TRIM(PROPER(Raw_data[[#This Row],[Assignments_Completed]]))</f>
        <v>No</v>
      </c>
      <c r="S13">
        <f>Raw_data[[#This Row],[Days_Inactive]]</f>
        <v>0</v>
      </c>
      <c r="T13">
        <f>Studentdata[[#This Row],[Course price]]-Studentdata[[#This Row],[Amount paid]]</f>
        <v>1000</v>
      </c>
    </row>
    <row r="14" spans="1:20" x14ac:dyDescent="0.3">
      <c r="A14">
        <v>13</v>
      </c>
      <c r="B14" t="str">
        <f>Raw_data[[#This Row],[Student_ID]]</f>
        <v>S1042</v>
      </c>
      <c r="C14" t="str">
        <f>TRIM(PROPER(Raw_data[[#This Row],[Student_Name]]))</f>
        <v>Amit Singh</v>
      </c>
      <c r="D14">
        <f>Raw_data[[#This Row],[Age]]</f>
        <v>32</v>
      </c>
      <c r="E14" t="str">
        <f>TRIM(PROPER(Raw_data[[#This Row],[Gender]]))</f>
        <v>Male</v>
      </c>
      <c r="F14" t="str">
        <f>TRIM(PROPER(Raw_data[[#This Row],[City]]))</f>
        <v>Chandigarh</v>
      </c>
      <c r="G14" t="str">
        <f>TRIM(PROPER(Raw_data[[#This Row],[Course_Name]]))</f>
        <v>Digital Marketing Pro</v>
      </c>
      <c r="H14" t="str">
        <f>TRIM(PROPER(Raw_data[[#This Row],[Course_Category]]))</f>
        <v>Marketing</v>
      </c>
      <c r="I14" s="1">
        <f>Raw_data[[#This Row],[Enrollment_Date]]</f>
        <v>45338</v>
      </c>
      <c r="J14" s="1">
        <f>Raw_data[[#This Row],[Last_Login_Date]]</f>
        <v>44986</v>
      </c>
      <c r="K14">
        <f>Raw_data[[#This Row],[Course_Price]]</f>
        <v>5000</v>
      </c>
      <c r="L14">
        <f>Raw_data[[#This Row],[Discount_Applied]]</f>
        <v>1000</v>
      </c>
      <c r="M14">
        <f>Raw_data[[#This Row],[Amount_Paid]]</f>
        <v>4000</v>
      </c>
      <c r="N14" t="str">
        <f>TRIM(PROPER(Raw_data[[#This Row],[Completion_Status]]))</f>
        <v>Churned</v>
      </c>
      <c r="O14" t="str">
        <f>TRIM(PROPER(Raw_data[[#This Row],[Refund_Issued]]))</f>
        <v>Yes</v>
      </c>
      <c r="P14">
        <f>Raw_data[[#This Row],[Engagement_Score]]</f>
        <v>0</v>
      </c>
      <c r="Q14">
        <f>Raw_data[[#This Row],[Videos_Watched]]</f>
        <v>44</v>
      </c>
      <c r="R14" t="str">
        <f>TRIM(PROPER(Raw_data[[#This Row],[Assignments_Completed]]))</f>
        <v>No</v>
      </c>
      <c r="S14">
        <f>Raw_data[[#This Row],[Days_Inactive]]</f>
        <v>0</v>
      </c>
      <c r="T14">
        <f>Studentdata[[#This Row],[Course price]]-Studentdata[[#This Row],[Amount paid]]</f>
        <v>1000</v>
      </c>
    </row>
    <row r="15" spans="1:20" x14ac:dyDescent="0.3">
      <c r="A15">
        <v>14</v>
      </c>
      <c r="B15" t="str">
        <f>Raw_data[[#This Row],[Student_ID]]</f>
        <v>S1022</v>
      </c>
      <c r="C15" t="str">
        <f>TRIM(PROPER(Raw_data[[#This Row],[Student_Name]]))</f>
        <v>Ananya Reddy</v>
      </c>
      <c r="D15">
        <f>Raw_data[[#This Row],[Age]]</f>
        <v>18</v>
      </c>
      <c r="E15" t="str">
        <f>TRIM(PROPER(Raw_data[[#This Row],[Gender]]))</f>
        <v>Female</v>
      </c>
      <c r="F15" t="str">
        <f>TRIM(PROPER(Raw_data[[#This Row],[City]]))</f>
        <v>Kolkata</v>
      </c>
      <c r="G15" t="str">
        <f>TRIM(PROPER(Raw_data[[#This Row],[Course_Name]]))</f>
        <v>Python For Data Science</v>
      </c>
      <c r="H15" t="str">
        <f>TRIM(PROPER(Raw_data[[#This Row],[Course_Category]]))</f>
        <v>Programming</v>
      </c>
      <c r="I15" s="1">
        <f>Raw_data[[#This Row],[Enrollment_Date]]</f>
        <v>45611</v>
      </c>
      <c r="J15" s="1">
        <f>Raw_data[[#This Row],[Last_Login_Date]]</f>
        <v>45651</v>
      </c>
      <c r="K15">
        <f>Raw_data[[#This Row],[Course_Price]]</f>
        <v>5000</v>
      </c>
      <c r="L15">
        <f>Raw_data[[#This Row],[Discount_Applied]]</f>
        <v>1000</v>
      </c>
      <c r="M15">
        <f>Raw_data[[#This Row],[Amount_Paid]]</f>
        <v>4000</v>
      </c>
      <c r="N15" t="str">
        <f>TRIM(PROPER(Raw_data[[#This Row],[Completion_Status]]))</f>
        <v>Churned</v>
      </c>
      <c r="O15" t="str">
        <f>TRIM(PROPER(Raw_data[[#This Row],[Refund_Issued]]))</f>
        <v>Yes</v>
      </c>
      <c r="P15">
        <f>Raw_data[[#This Row],[Engagement_Score]]</f>
        <v>0</v>
      </c>
      <c r="Q15">
        <f>Raw_data[[#This Row],[Videos_Watched]]</f>
        <v>44</v>
      </c>
      <c r="R15" t="str">
        <f>TRIM(PROPER(Raw_data[[#This Row],[Assignments_Completed]]))</f>
        <v>Yes</v>
      </c>
      <c r="S15">
        <f>Raw_data[[#This Row],[Days_Inactive]]</f>
        <v>35</v>
      </c>
      <c r="T15">
        <f>Studentdata[[#This Row],[Course price]]-Studentdata[[#This Row],[Amount paid]]</f>
        <v>1000</v>
      </c>
    </row>
    <row r="16" spans="1:20" x14ac:dyDescent="0.3">
      <c r="A16">
        <v>15</v>
      </c>
      <c r="B16" t="str">
        <f>Raw_data[[#This Row],[Student_ID]]</f>
        <v>S1026</v>
      </c>
      <c r="C16" t="str">
        <f>TRIM(PROPER(Raw_data[[#This Row],[Student_Name]]))</f>
        <v>Anika Das</v>
      </c>
      <c r="D16">
        <f>Raw_data[[#This Row],[Age]]</f>
        <v>31</v>
      </c>
      <c r="E16" t="str">
        <f>TRIM(PROPER(Raw_data[[#This Row],[Gender]]))</f>
        <v>Female</v>
      </c>
      <c r="F16" t="str">
        <f>TRIM(PROPER(Raw_data[[#This Row],[City]]))</f>
        <v>Ahmedabad</v>
      </c>
      <c r="G16" t="str">
        <f>TRIM(PROPER(Raw_data[[#This Row],[Course_Name]]))</f>
        <v>Power Bi Complete Guide</v>
      </c>
      <c r="H16" t="str">
        <f>TRIM(PROPER(Raw_data[[#This Row],[Course_Category]]))</f>
        <v>Analytics</v>
      </c>
      <c r="I16" s="1">
        <f>Raw_data[[#This Row],[Enrollment_Date]]</f>
        <v>45418</v>
      </c>
      <c r="J16" s="1">
        <f>Raw_data[[#This Row],[Last_Login_Date]]</f>
        <v>45525</v>
      </c>
      <c r="K16">
        <f>Raw_data[[#This Row],[Course_Price]]</f>
        <v>6000</v>
      </c>
      <c r="L16">
        <f>Raw_data[[#This Row],[Discount_Applied]]</f>
        <v>0</v>
      </c>
      <c r="M16">
        <f>Raw_data[[#This Row],[Amount_Paid]]</f>
        <v>6000</v>
      </c>
      <c r="N16" t="str">
        <f>TRIM(PROPER(Raw_data[[#This Row],[Completion_Status]]))</f>
        <v>Churned</v>
      </c>
      <c r="O16" t="str">
        <f>TRIM(PROPER(Raw_data[[#This Row],[Refund_Issued]]))</f>
        <v>No</v>
      </c>
      <c r="P16">
        <f>Raw_data[[#This Row],[Engagement_Score]]</f>
        <v>0</v>
      </c>
      <c r="Q16">
        <f>Raw_data[[#This Row],[Videos_Watched]]</f>
        <v>4</v>
      </c>
      <c r="R16" t="str">
        <f>TRIM(PROPER(Raw_data[[#This Row],[Assignments_Completed]]))</f>
        <v>Yes</v>
      </c>
      <c r="S16">
        <f>Raw_data[[#This Row],[Days_Inactive]]</f>
        <v>0</v>
      </c>
      <c r="T16">
        <f>Studentdata[[#This Row],[Course price]]-Studentdata[[#This Row],[Amount paid]]</f>
        <v>0</v>
      </c>
    </row>
    <row r="17" spans="1:20" x14ac:dyDescent="0.3">
      <c r="A17">
        <v>16</v>
      </c>
      <c r="B17" t="str">
        <f>Raw_data[[#This Row],[Student_ID]]</f>
        <v>S1095</v>
      </c>
      <c r="C17" t="str">
        <f>TRIM(PROPER(Raw_data[[#This Row],[Student_Name]]))</f>
        <v>Anjali Verma</v>
      </c>
      <c r="D17">
        <f>Raw_data[[#This Row],[Age]]</f>
        <v>27</v>
      </c>
      <c r="E17" t="str">
        <f>TRIM(PROPER(Raw_data[[#This Row],[Gender]]))</f>
        <v>Female</v>
      </c>
      <c r="F17" t="str">
        <f>TRIM(PROPER(Raw_data[[#This Row],[City]]))</f>
        <v>Kolkata</v>
      </c>
      <c r="G17" t="str">
        <f>TRIM(PROPER(Raw_data[[#This Row],[Course_Name]]))</f>
        <v>Digital Marketing Pro</v>
      </c>
      <c r="H17" t="str">
        <f>TRIM(PROPER(Raw_data[[#This Row],[Course_Category]]))</f>
        <v>Marketing</v>
      </c>
      <c r="I17" s="1">
        <f>Raw_data[[#This Row],[Enrollment_Date]]</f>
        <v>45415</v>
      </c>
      <c r="J17" s="1">
        <f>Raw_data[[#This Row],[Last_Login_Date]]</f>
        <v>45442</v>
      </c>
      <c r="K17">
        <f>Raw_data[[#This Row],[Course_Price]]</f>
        <v>3000</v>
      </c>
      <c r="L17">
        <f>Raw_data[[#This Row],[Discount_Applied]]</f>
        <v>0</v>
      </c>
      <c r="M17">
        <f>Raw_data[[#This Row],[Amount_Paid]]</f>
        <v>3000</v>
      </c>
      <c r="N17" t="str">
        <f>TRIM(PROPER(Raw_data[[#This Row],[Completion_Status]]))</f>
        <v>Completed</v>
      </c>
      <c r="O17" t="str">
        <f>TRIM(PROPER(Raw_data[[#This Row],[Refund_Issued]]))</f>
        <v>No</v>
      </c>
      <c r="P17">
        <f>Raw_data[[#This Row],[Engagement_Score]]</f>
        <v>0</v>
      </c>
      <c r="Q17">
        <f>Raw_data[[#This Row],[Videos_Watched]]</f>
        <v>34</v>
      </c>
      <c r="R17" t="str">
        <f>TRIM(PROPER(Raw_data[[#This Row],[Assignments_Completed]]))</f>
        <v>Yes</v>
      </c>
      <c r="S17">
        <f>Raw_data[[#This Row],[Days_Inactive]]</f>
        <v>0</v>
      </c>
      <c r="T17">
        <f>Studentdata[[#This Row],[Course price]]-Studentdata[[#This Row],[Amount paid]]</f>
        <v>0</v>
      </c>
    </row>
    <row r="18" spans="1:20" x14ac:dyDescent="0.3">
      <c r="A18">
        <v>17</v>
      </c>
      <c r="B18" t="str">
        <f>Raw_data[[#This Row],[Student_ID]]</f>
        <v>S1049</v>
      </c>
      <c r="C18" t="str">
        <f>TRIM(PROPER(Raw_data[[#This Row],[Student_Name]]))</f>
        <v>Ankit Jain</v>
      </c>
      <c r="D18">
        <f>Raw_data[[#This Row],[Age]]</f>
        <v>25</v>
      </c>
      <c r="E18" t="str">
        <f>TRIM(PROPER(Raw_data[[#This Row],[Gender]]))</f>
        <v>Male</v>
      </c>
      <c r="F18" t="str">
        <f>TRIM(PROPER(Raw_data[[#This Row],[City]]))</f>
        <v>Mumbai</v>
      </c>
      <c r="G18" t="str">
        <f>TRIM(PROPER(Raw_data[[#This Row],[Course_Name]]))</f>
        <v>Excel For Beginners</v>
      </c>
      <c r="H18" t="str">
        <f>TRIM(PROPER(Raw_data[[#This Row],[Course_Category]]))</f>
        <v>Productivity</v>
      </c>
      <c r="I18" s="1">
        <f>Raw_data[[#This Row],[Enrollment_Date]]</f>
        <v>45616</v>
      </c>
      <c r="J18" s="1">
        <f>Raw_data[[#This Row],[Last_Login_Date]]</f>
        <v>44986</v>
      </c>
      <c r="K18">
        <f>Raw_data[[#This Row],[Course_Price]]</f>
        <v>4000</v>
      </c>
      <c r="L18">
        <f>Raw_data[[#This Row],[Discount_Applied]]</f>
        <v>1000</v>
      </c>
      <c r="M18">
        <f>Raw_data[[#This Row],[Amount_Paid]]</f>
        <v>3000</v>
      </c>
      <c r="N18" t="str">
        <f>TRIM(PROPER(Raw_data[[#This Row],[Completion_Status]]))</f>
        <v>Completed</v>
      </c>
      <c r="O18" t="str">
        <f>TRIM(PROPER(Raw_data[[#This Row],[Refund_Issued]]))</f>
        <v>Yes</v>
      </c>
      <c r="P18">
        <f>Raw_data[[#This Row],[Engagement_Score]]</f>
        <v>0</v>
      </c>
      <c r="Q18">
        <f>Raw_data[[#This Row],[Videos_Watched]]</f>
        <v>22</v>
      </c>
      <c r="R18" t="str">
        <f>TRIM(PROPER(Raw_data[[#This Row],[Assignments_Completed]]))</f>
        <v>Yes</v>
      </c>
      <c r="S18">
        <f>Raw_data[[#This Row],[Days_Inactive]]</f>
        <v>27</v>
      </c>
      <c r="T18">
        <f>Studentdata[[#This Row],[Course price]]-Studentdata[[#This Row],[Amount paid]]</f>
        <v>1000</v>
      </c>
    </row>
    <row r="19" spans="1:20" x14ac:dyDescent="0.3">
      <c r="A19">
        <v>18</v>
      </c>
      <c r="B19" t="str">
        <f>Raw_data[[#This Row],[Student_ID]]</f>
        <v>S1118</v>
      </c>
      <c r="C19" t="str">
        <f>TRIM(PROPER(Raw_data[[#This Row],[Student_Name]]))</f>
        <v>Anu Jain</v>
      </c>
      <c r="D19">
        <f>Raw_data[[#This Row],[Age]]</f>
        <v>28</v>
      </c>
      <c r="E19" t="str">
        <f>TRIM(PROPER(Raw_data[[#This Row],[Gender]]))</f>
        <v>Female</v>
      </c>
      <c r="F19" t="str">
        <f>TRIM(PROPER(Raw_data[[#This Row],[City]]))</f>
        <v>Hyderabad</v>
      </c>
      <c r="G19" t="str">
        <f>TRIM(PROPER(Raw_data[[#This Row],[Course_Name]]))</f>
        <v>Advanced Excel</v>
      </c>
      <c r="H19" t="str">
        <f>TRIM(PROPER(Raw_data[[#This Row],[Course_Category]]))</f>
        <v>Productivity</v>
      </c>
      <c r="I19" s="1">
        <f>Raw_data[[#This Row],[Enrollment_Date]]</f>
        <v>45300</v>
      </c>
      <c r="J19" s="1">
        <f>Raw_data[[#This Row],[Last_Login_Date]]</f>
        <v>44986</v>
      </c>
      <c r="K19">
        <f>Raw_data[[#This Row],[Course_Price]]</f>
        <v>5000</v>
      </c>
      <c r="L19">
        <f>Raw_data[[#This Row],[Discount_Applied]]</f>
        <v>500</v>
      </c>
      <c r="M19">
        <f>Raw_data[[#This Row],[Amount_Paid]]</f>
        <v>4500</v>
      </c>
      <c r="N19" t="str">
        <f>TRIM(PROPER(Raw_data[[#This Row],[Completion_Status]]))</f>
        <v>Completed</v>
      </c>
      <c r="O19" t="str">
        <f>TRIM(PROPER(Raw_data[[#This Row],[Refund_Issued]]))</f>
        <v>Yes</v>
      </c>
      <c r="P19">
        <f>Raw_data[[#This Row],[Engagement_Score]]</f>
        <v>7</v>
      </c>
      <c r="Q19">
        <f>Raw_data[[#This Row],[Videos_Watched]]</f>
        <v>15</v>
      </c>
      <c r="R19" t="str">
        <f>TRIM(PROPER(Raw_data[[#This Row],[Assignments_Completed]]))</f>
        <v>No</v>
      </c>
      <c r="S19">
        <f>Raw_data[[#This Row],[Days_Inactive]]</f>
        <v>83</v>
      </c>
      <c r="T19">
        <f>Studentdata[[#This Row],[Course price]]-Studentdata[[#This Row],[Amount paid]]</f>
        <v>500</v>
      </c>
    </row>
    <row r="20" spans="1:20" x14ac:dyDescent="0.3">
      <c r="A20">
        <v>19</v>
      </c>
      <c r="B20" t="str">
        <f>Raw_data[[#This Row],[Student_ID]]</f>
        <v>S1136</v>
      </c>
      <c r="C20" t="str">
        <f>TRIM(PROPER(Raw_data[[#This Row],[Student_Name]]))</f>
        <v>Arbaz Khan</v>
      </c>
      <c r="D20">
        <f>Raw_data[[#This Row],[Age]]</f>
        <v>29</v>
      </c>
      <c r="E20" t="str">
        <f>TRIM(PROPER(Raw_data[[#This Row],[Gender]]))</f>
        <v>Male</v>
      </c>
      <c r="F20" t="str">
        <f>TRIM(PROPER(Raw_data[[#This Row],[City]]))</f>
        <v>Mumbai</v>
      </c>
      <c r="G20" t="str">
        <f>TRIM(PROPER(Raw_data[[#This Row],[Course_Name]]))</f>
        <v>Digital Marketing Pro</v>
      </c>
      <c r="H20" t="str">
        <f>TRIM(PROPER(Raw_data[[#This Row],[Course_Category]]))</f>
        <v>Marketing</v>
      </c>
      <c r="I20" s="1">
        <f>Raw_data[[#This Row],[Enrollment_Date]]</f>
        <v>45562</v>
      </c>
      <c r="J20" s="1">
        <f>Raw_data[[#This Row],[Last_Login_Date]]</f>
        <v>44986</v>
      </c>
      <c r="K20">
        <f>Raw_data[[#This Row],[Course_Price]]</f>
        <v>7000</v>
      </c>
      <c r="L20">
        <f>Raw_data[[#This Row],[Discount_Applied]]</f>
        <v>500</v>
      </c>
      <c r="M20">
        <f>Raw_data[[#This Row],[Amount_Paid]]</f>
        <v>6500</v>
      </c>
      <c r="N20" t="str">
        <f>TRIM(PROPER(Raw_data[[#This Row],[Completion_Status]]))</f>
        <v>Churned</v>
      </c>
      <c r="O20" t="str">
        <f>TRIM(PROPER(Raw_data[[#This Row],[Refund_Issued]]))</f>
        <v>Yes</v>
      </c>
      <c r="P20">
        <f>Raw_data[[#This Row],[Engagement_Score]]</f>
        <v>0</v>
      </c>
      <c r="Q20">
        <f>Raw_data[[#This Row],[Videos_Watched]]</f>
        <v>39</v>
      </c>
      <c r="R20" t="str">
        <f>TRIM(PROPER(Raw_data[[#This Row],[Assignments_Completed]]))</f>
        <v>No</v>
      </c>
      <c r="S20">
        <f>Raw_data[[#This Row],[Days_Inactive]]</f>
        <v>86</v>
      </c>
      <c r="T20">
        <f>Studentdata[[#This Row],[Course price]]-Studentdata[[#This Row],[Amount paid]]</f>
        <v>500</v>
      </c>
    </row>
    <row r="21" spans="1:20" x14ac:dyDescent="0.3">
      <c r="A21">
        <v>20</v>
      </c>
      <c r="B21" t="str">
        <f>Raw_data[[#This Row],[Student_ID]]</f>
        <v>S1005</v>
      </c>
      <c r="C21" t="str">
        <f>TRIM(PROPER(Raw_data[[#This Row],[Student_Name]]))</f>
        <v>Arjun Verma</v>
      </c>
      <c r="D21">
        <f>Raw_data[[#This Row],[Age]]</f>
        <v>26</v>
      </c>
      <c r="E21" t="str">
        <f>TRIM(PROPER(Raw_data[[#This Row],[Gender]]))</f>
        <v>Male</v>
      </c>
      <c r="F21" t="str">
        <f>TRIM(PROPER(Raw_data[[#This Row],[City]]))</f>
        <v>Pune</v>
      </c>
      <c r="G21" t="str">
        <f>TRIM(PROPER(Raw_data[[#This Row],[Course_Name]]))</f>
        <v>Digital Marketing Pro</v>
      </c>
      <c r="H21" t="str">
        <f>TRIM(PROPER(Raw_data[[#This Row],[Course_Category]]))</f>
        <v>Marketing</v>
      </c>
      <c r="I21" s="1">
        <f>Raw_data[[#This Row],[Enrollment_Date]]</f>
        <v>45494</v>
      </c>
      <c r="J21" s="1">
        <f>Raw_data[[#This Row],[Last_Login_Date]]</f>
        <v>44986</v>
      </c>
      <c r="K21">
        <f>Raw_data[[#This Row],[Course_Price]]</f>
        <v>4000</v>
      </c>
      <c r="L21">
        <f>Raw_data[[#This Row],[Discount_Applied]]</f>
        <v>1000</v>
      </c>
      <c r="M21">
        <f>Raw_data[[#This Row],[Amount_Paid]]</f>
        <v>3000</v>
      </c>
      <c r="N21" t="str">
        <f>TRIM(PROPER(Raw_data[[#This Row],[Completion_Status]]))</f>
        <v>Completed</v>
      </c>
      <c r="O21" t="str">
        <f>TRIM(PROPER(Raw_data[[#This Row],[Refund_Issued]]))</f>
        <v>No</v>
      </c>
      <c r="P21">
        <f>Raw_data[[#This Row],[Engagement_Score]]</f>
        <v>0</v>
      </c>
      <c r="Q21">
        <f>Raw_data[[#This Row],[Videos_Watched]]</f>
        <v>47</v>
      </c>
      <c r="R21" t="str">
        <f>TRIM(PROPER(Raw_data[[#This Row],[Assignments_Completed]]))</f>
        <v>No</v>
      </c>
      <c r="S21">
        <f>Raw_data[[#This Row],[Days_Inactive]]</f>
        <v>0</v>
      </c>
      <c r="T21">
        <f>Studentdata[[#This Row],[Course price]]-Studentdata[[#This Row],[Amount paid]]</f>
        <v>1000</v>
      </c>
    </row>
    <row r="22" spans="1:20" x14ac:dyDescent="0.3">
      <c r="A22">
        <v>21</v>
      </c>
      <c r="B22" t="str">
        <f>Raw_data[[#This Row],[Student_ID]]</f>
        <v>S1140</v>
      </c>
      <c r="C22" t="str">
        <f>TRIM(PROPER(Raw_data[[#This Row],[Student_Name]]))</f>
        <v>Arman Khan</v>
      </c>
      <c r="D22">
        <f>Raw_data[[#This Row],[Age]]</f>
        <v>29</v>
      </c>
      <c r="E22" t="str">
        <f>TRIM(PROPER(Raw_data[[#This Row],[Gender]]))</f>
        <v>Male</v>
      </c>
      <c r="F22" t="str">
        <f>TRIM(PROPER(Raw_data[[#This Row],[City]]))</f>
        <v>Ahmedabad</v>
      </c>
      <c r="G22" t="str">
        <f>TRIM(PROPER(Raw_data[[#This Row],[Course_Name]]))</f>
        <v>Sql Mastery</v>
      </c>
      <c r="H22" t="str">
        <f>TRIM(PROPER(Raw_data[[#This Row],[Course_Category]]))</f>
        <v>Analytics</v>
      </c>
      <c r="I22" s="1">
        <f>Raw_data[[#This Row],[Enrollment_Date]]</f>
        <v>45509</v>
      </c>
      <c r="J22" s="1">
        <f>Raw_data[[#This Row],[Last_Login_Date]]</f>
        <v>45522</v>
      </c>
      <c r="K22">
        <f>Raw_data[[#This Row],[Course_Price]]</f>
        <v>5000</v>
      </c>
      <c r="L22">
        <f>Raw_data[[#This Row],[Discount_Applied]]</f>
        <v>0</v>
      </c>
      <c r="M22">
        <f>Raw_data[[#This Row],[Amount_Paid]]</f>
        <v>5000</v>
      </c>
      <c r="N22" t="str">
        <f>TRIM(PROPER(Raw_data[[#This Row],[Completion_Status]]))</f>
        <v>Churned</v>
      </c>
      <c r="O22" t="str">
        <f>TRIM(PROPER(Raw_data[[#This Row],[Refund_Issued]]))</f>
        <v>Yes</v>
      </c>
      <c r="P22">
        <f>Raw_data[[#This Row],[Engagement_Score]]</f>
        <v>0</v>
      </c>
      <c r="Q22">
        <f>Raw_data[[#This Row],[Videos_Watched]]</f>
        <v>7</v>
      </c>
      <c r="R22" t="str">
        <f>TRIM(PROPER(Raw_data[[#This Row],[Assignments_Completed]]))</f>
        <v>No</v>
      </c>
      <c r="S22">
        <f>Raw_data[[#This Row],[Days_Inactive]]</f>
        <v>75</v>
      </c>
      <c r="T22">
        <f>Studentdata[[#This Row],[Course price]]-Studentdata[[#This Row],[Amount paid]]</f>
        <v>0</v>
      </c>
    </row>
    <row r="23" spans="1:20" x14ac:dyDescent="0.3">
      <c r="A23">
        <v>22</v>
      </c>
      <c r="B23" t="str">
        <f>Raw_data[[#This Row],[Student_ID]]</f>
        <v>S1015</v>
      </c>
      <c r="C23" t="str">
        <f>TRIM(PROPER(Raw_data[[#This Row],[Student_Name]]))</f>
        <v>Aryan Kapoor</v>
      </c>
      <c r="D23">
        <f>Raw_data[[#This Row],[Age]]</f>
        <v>28</v>
      </c>
      <c r="E23" t="str">
        <f>TRIM(PROPER(Raw_data[[#This Row],[Gender]]))</f>
        <v>Male</v>
      </c>
      <c r="F23" t="str">
        <f>TRIM(PROPER(Raw_data[[#This Row],[City]]))</f>
        <v>Pune</v>
      </c>
      <c r="G23" t="str">
        <f>TRIM(PROPER(Raw_data[[#This Row],[Course_Name]]))</f>
        <v>Power Bi Complete Guide</v>
      </c>
      <c r="H23" t="str">
        <f>TRIM(PROPER(Raw_data[[#This Row],[Course_Category]]))</f>
        <v>Analytics</v>
      </c>
      <c r="I23" s="1">
        <f>Raw_data[[#This Row],[Enrollment_Date]]</f>
        <v>45494</v>
      </c>
      <c r="J23" s="1">
        <f>Raw_data[[#This Row],[Last_Login_Date]]</f>
        <v>45510</v>
      </c>
      <c r="K23">
        <f>Raw_data[[#This Row],[Course_Price]]</f>
        <v>6000</v>
      </c>
      <c r="L23">
        <f>Raw_data[[#This Row],[Discount_Applied]]</f>
        <v>1000</v>
      </c>
      <c r="M23">
        <f>Raw_data[[#This Row],[Amount_Paid]]</f>
        <v>5000</v>
      </c>
      <c r="N23" t="str">
        <f>TRIM(PROPER(Raw_data[[#This Row],[Completion_Status]]))</f>
        <v>Churned</v>
      </c>
      <c r="O23" t="str">
        <f>TRIM(PROPER(Raw_data[[#This Row],[Refund_Issued]]))</f>
        <v>Yes</v>
      </c>
      <c r="P23">
        <f>Raw_data[[#This Row],[Engagement_Score]]</f>
        <v>8</v>
      </c>
      <c r="Q23">
        <f>Raw_data[[#This Row],[Videos_Watched]]</f>
        <v>36</v>
      </c>
      <c r="R23" t="str">
        <f>TRIM(PROPER(Raw_data[[#This Row],[Assignments_Completed]]))</f>
        <v>Yes</v>
      </c>
      <c r="S23">
        <f>Raw_data[[#This Row],[Days_Inactive]]</f>
        <v>4</v>
      </c>
      <c r="T23">
        <f>Studentdata[[#This Row],[Course price]]-Studentdata[[#This Row],[Amount paid]]</f>
        <v>1000</v>
      </c>
    </row>
    <row r="24" spans="1:20" x14ac:dyDescent="0.3">
      <c r="A24">
        <v>23</v>
      </c>
      <c r="B24" t="str">
        <f>Raw_data[[#This Row],[Student_ID]]</f>
        <v>S1125</v>
      </c>
      <c r="C24" t="str">
        <f>TRIM(PROPER(Raw_data[[#This Row],[Student_Name]]))</f>
        <v>Ashok Kumar</v>
      </c>
      <c r="D24">
        <f>Raw_data[[#This Row],[Age]]</f>
        <v>25</v>
      </c>
      <c r="E24" t="str">
        <f>TRIM(PROPER(Raw_data[[#This Row],[Gender]]))</f>
        <v>Male</v>
      </c>
      <c r="F24" t="str">
        <f>TRIM(PROPER(Raw_data[[#This Row],[City]]))</f>
        <v>Kolkata</v>
      </c>
      <c r="G24" t="str">
        <f>TRIM(PROPER(Raw_data[[#This Row],[Course_Name]]))</f>
        <v>Advanced Excel</v>
      </c>
      <c r="H24" t="str">
        <f>TRIM(PROPER(Raw_data[[#This Row],[Course_Category]]))</f>
        <v>Productivity</v>
      </c>
      <c r="I24" s="1">
        <f>Raw_data[[#This Row],[Enrollment_Date]]</f>
        <v>45640</v>
      </c>
      <c r="J24" s="1">
        <f>Raw_data[[#This Row],[Last_Login_Date]]</f>
        <v>44986</v>
      </c>
      <c r="K24">
        <f>Raw_data[[#This Row],[Course_Price]]</f>
        <v>3000</v>
      </c>
      <c r="L24">
        <f>Raw_data[[#This Row],[Discount_Applied]]</f>
        <v>0</v>
      </c>
      <c r="M24">
        <f>Raw_data[[#This Row],[Amount_Paid]]</f>
        <v>3000</v>
      </c>
      <c r="N24" t="str">
        <f>TRIM(PROPER(Raw_data[[#This Row],[Completion_Status]]))</f>
        <v>Completed</v>
      </c>
      <c r="O24" t="str">
        <f>TRIM(PROPER(Raw_data[[#This Row],[Refund_Issued]]))</f>
        <v>No</v>
      </c>
      <c r="P24">
        <f>Raw_data[[#This Row],[Engagement_Score]]</f>
        <v>0</v>
      </c>
      <c r="Q24">
        <f>Raw_data[[#This Row],[Videos_Watched]]</f>
        <v>9</v>
      </c>
      <c r="R24" t="str">
        <f>TRIM(PROPER(Raw_data[[#This Row],[Assignments_Completed]]))</f>
        <v>No</v>
      </c>
      <c r="S24">
        <f>Raw_data[[#This Row],[Days_Inactive]]</f>
        <v>45</v>
      </c>
      <c r="T24">
        <f>Studentdata[[#This Row],[Course price]]-Studentdata[[#This Row],[Amount paid]]</f>
        <v>0</v>
      </c>
    </row>
    <row r="25" spans="1:20" x14ac:dyDescent="0.3">
      <c r="A25">
        <v>24</v>
      </c>
      <c r="B25" t="str">
        <f>Raw_data[[#This Row],[Student_ID]]</f>
        <v>S1011</v>
      </c>
      <c r="C25" t="str">
        <f>TRIM(PROPER(Raw_data[[#This Row],[Student_Name]]))</f>
        <v>Atharv Mishra</v>
      </c>
      <c r="D25">
        <f>Raw_data[[#This Row],[Age]]</f>
        <v>31</v>
      </c>
      <c r="E25" t="str">
        <f>TRIM(PROPER(Raw_data[[#This Row],[Gender]]))</f>
        <v>Male</v>
      </c>
      <c r="F25" t="str">
        <f>TRIM(PROPER(Raw_data[[#This Row],[City]]))</f>
        <v>Kolkata</v>
      </c>
      <c r="G25" t="str">
        <f>TRIM(PROPER(Raw_data[[#This Row],[Course_Name]]))</f>
        <v>Business Analysis Fundamentals</v>
      </c>
      <c r="H25" t="str">
        <f>TRIM(PROPER(Raw_data[[#This Row],[Course_Category]]))</f>
        <v>Analytics</v>
      </c>
      <c r="I25" s="1">
        <f>Raw_data[[#This Row],[Enrollment_Date]]</f>
        <v>45502</v>
      </c>
      <c r="J25" s="1">
        <f>Raw_data[[#This Row],[Last_Login_Date]]</f>
        <v>45561</v>
      </c>
      <c r="K25">
        <f>Raw_data[[#This Row],[Course_Price]]</f>
        <v>5000</v>
      </c>
      <c r="L25">
        <f>Raw_data[[#This Row],[Discount_Applied]]</f>
        <v>0</v>
      </c>
      <c r="M25">
        <f>Raw_data[[#This Row],[Amount_Paid]]</f>
        <v>5000</v>
      </c>
      <c r="N25" t="str">
        <f>TRIM(PROPER(Raw_data[[#This Row],[Completion_Status]]))</f>
        <v>Completed</v>
      </c>
      <c r="O25" t="str">
        <f>TRIM(PROPER(Raw_data[[#This Row],[Refund_Issued]]))</f>
        <v>No</v>
      </c>
      <c r="P25">
        <f>Raw_data[[#This Row],[Engagement_Score]]</f>
        <v>6</v>
      </c>
      <c r="Q25">
        <f>Raw_data[[#This Row],[Videos_Watched]]</f>
        <v>12</v>
      </c>
      <c r="R25" t="str">
        <f>TRIM(PROPER(Raw_data[[#This Row],[Assignments_Completed]]))</f>
        <v>No</v>
      </c>
      <c r="S25">
        <f>Raw_data[[#This Row],[Days_Inactive]]</f>
        <v>34</v>
      </c>
      <c r="T25">
        <f>Studentdata[[#This Row],[Course price]]-Studentdata[[#This Row],[Amount paid]]</f>
        <v>0</v>
      </c>
    </row>
    <row r="26" spans="1:20" x14ac:dyDescent="0.3">
      <c r="A26">
        <v>25</v>
      </c>
      <c r="B26" t="str">
        <f>Raw_data[[#This Row],[Student_ID]]</f>
        <v>S1133</v>
      </c>
      <c r="C26" t="str">
        <f>TRIM(PROPER(Raw_data[[#This Row],[Student_Name]]))</f>
        <v>Ayaan Khan</v>
      </c>
      <c r="D26">
        <f>Raw_data[[#This Row],[Age]]</f>
        <v>32</v>
      </c>
      <c r="E26" t="str">
        <f>TRIM(PROPER(Raw_data[[#This Row],[Gender]]))</f>
        <v>Male</v>
      </c>
      <c r="F26" t="str">
        <f>TRIM(PROPER(Raw_data[[#This Row],[City]]))</f>
        <v>Delhi</v>
      </c>
      <c r="G26" t="str">
        <f>TRIM(PROPER(Raw_data[[#This Row],[Course_Name]]))</f>
        <v>Excel For Beginners</v>
      </c>
      <c r="H26" t="str">
        <f>TRIM(PROPER(Raw_data[[#This Row],[Course_Category]]))</f>
        <v>Productivity</v>
      </c>
      <c r="I26" s="1">
        <f>Raw_data[[#This Row],[Enrollment_Date]]</f>
        <v>45443</v>
      </c>
      <c r="J26" s="1">
        <f>Raw_data[[#This Row],[Last_Login_Date]]</f>
        <v>45496</v>
      </c>
      <c r="K26">
        <f>Raw_data[[#This Row],[Course_Price]]</f>
        <v>6000</v>
      </c>
      <c r="L26">
        <f>Raw_data[[#This Row],[Discount_Applied]]</f>
        <v>500</v>
      </c>
      <c r="M26">
        <f>Raw_data[[#This Row],[Amount_Paid]]</f>
        <v>5500</v>
      </c>
      <c r="N26" t="str">
        <f>TRIM(PROPER(Raw_data[[#This Row],[Completion_Status]]))</f>
        <v>Completed</v>
      </c>
      <c r="O26" t="str">
        <f>TRIM(PROPER(Raw_data[[#This Row],[Refund_Issued]]))</f>
        <v>Yes</v>
      </c>
      <c r="P26">
        <f>Raw_data[[#This Row],[Engagement_Score]]</f>
        <v>6</v>
      </c>
      <c r="Q26">
        <f>Raw_data[[#This Row],[Videos_Watched]]</f>
        <v>33</v>
      </c>
      <c r="R26" t="str">
        <f>TRIM(PROPER(Raw_data[[#This Row],[Assignments_Completed]]))</f>
        <v>No</v>
      </c>
      <c r="S26">
        <f>Raw_data[[#This Row],[Days_Inactive]]</f>
        <v>22</v>
      </c>
      <c r="T26">
        <f>Studentdata[[#This Row],[Course price]]-Studentdata[[#This Row],[Amount paid]]</f>
        <v>500</v>
      </c>
    </row>
    <row r="27" spans="1:20" x14ac:dyDescent="0.3">
      <c r="A27">
        <v>26</v>
      </c>
      <c r="B27" t="str">
        <f>Raw_data[[#This Row],[Student_ID]]</f>
        <v>S1102</v>
      </c>
      <c r="C27" t="str">
        <f>TRIM(PROPER(Raw_data[[#This Row],[Student_Name]]))</f>
        <v>Ayush Singh</v>
      </c>
      <c r="D27">
        <f>Raw_data[[#This Row],[Age]]</f>
        <v>30</v>
      </c>
      <c r="E27" t="str">
        <f>TRIM(PROPER(Raw_data[[#This Row],[Gender]]))</f>
        <v>Male</v>
      </c>
      <c r="F27" t="str">
        <f>TRIM(PROPER(Raw_data[[#This Row],[City]]))</f>
        <v>Chennai</v>
      </c>
      <c r="G27" t="str">
        <f>TRIM(PROPER(Raw_data[[#This Row],[Course_Name]]))</f>
        <v>Power Bi Complete Guide</v>
      </c>
      <c r="H27" t="str">
        <f>TRIM(PROPER(Raw_data[[#This Row],[Course_Category]]))</f>
        <v>Analytics</v>
      </c>
      <c r="I27" s="1">
        <f>Raw_data[[#This Row],[Enrollment_Date]]</f>
        <v>45657</v>
      </c>
      <c r="J27" s="1">
        <f>Raw_data[[#This Row],[Last_Login_Date]]</f>
        <v>44986</v>
      </c>
      <c r="K27">
        <f>Raw_data[[#This Row],[Course_Price]]</f>
        <v>5000</v>
      </c>
      <c r="L27">
        <f>Raw_data[[#This Row],[Discount_Applied]]</f>
        <v>1000</v>
      </c>
      <c r="M27">
        <f>Raw_data[[#This Row],[Amount_Paid]]</f>
        <v>4000</v>
      </c>
      <c r="N27" t="str">
        <f>TRIM(PROPER(Raw_data[[#This Row],[Completion_Status]]))</f>
        <v>Churned</v>
      </c>
      <c r="O27" t="str">
        <f>TRIM(PROPER(Raw_data[[#This Row],[Refund_Issued]]))</f>
        <v>No</v>
      </c>
      <c r="P27">
        <f>Raw_data[[#This Row],[Engagement_Score]]</f>
        <v>4</v>
      </c>
      <c r="Q27">
        <f>Raw_data[[#This Row],[Videos_Watched]]</f>
        <v>17</v>
      </c>
      <c r="R27" t="str">
        <f>TRIM(PROPER(Raw_data[[#This Row],[Assignments_Completed]]))</f>
        <v>No</v>
      </c>
      <c r="S27">
        <f>Raw_data[[#This Row],[Days_Inactive]]</f>
        <v>44</v>
      </c>
      <c r="T27">
        <f>Studentdata[[#This Row],[Course price]]-Studentdata[[#This Row],[Amount paid]]</f>
        <v>1000</v>
      </c>
    </row>
    <row r="28" spans="1:20" x14ac:dyDescent="0.3">
      <c r="A28">
        <v>27</v>
      </c>
      <c r="B28" t="str">
        <f>Raw_data[[#This Row],[Student_ID]]</f>
        <v>S1113</v>
      </c>
      <c r="C28" t="str">
        <f>TRIM(PROPER(Raw_data[[#This Row],[Student_Name]]))</f>
        <v>Beena Gupta</v>
      </c>
      <c r="D28">
        <f>Raw_data[[#This Row],[Age]]</f>
        <v>19</v>
      </c>
      <c r="E28" t="str">
        <f>TRIM(PROPER(Raw_data[[#This Row],[Gender]]))</f>
        <v>Female</v>
      </c>
      <c r="F28" t="str">
        <f>TRIM(PROPER(Raw_data[[#This Row],[City]]))</f>
        <v>Hyderabad</v>
      </c>
      <c r="G28" t="str">
        <f>TRIM(PROPER(Raw_data[[#This Row],[Course_Name]]))</f>
        <v>Sql Mastery</v>
      </c>
      <c r="H28" t="str">
        <f>TRIM(PROPER(Raw_data[[#This Row],[Course_Category]]))</f>
        <v>Analytics</v>
      </c>
      <c r="I28" s="1">
        <f>Raw_data[[#This Row],[Enrollment_Date]]</f>
        <v>45320</v>
      </c>
      <c r="J28" s="1">
        <f>Raw_data[[#This Row],[Last_Login_Date]]</f>
        <v>45337</v>
      </c>
      <c r="K28">
        <f>Raw_data[[#This Row],[Course_Price]]</f>
        <v>4000</v>
      </c>
      <c r="L28">
        <f>Raw_data[[#This Row],[Discount_Applied]]</f>
        <v>0</v>
      </c>
      <c r="M28">
        <f>Raw_data[[#This Row],[Amount_Paid]]</f>
        <v>4000</v>
      </c>
      <c r="N28" t="str">
        <f>TRIM(PROPER(Raw_data[[#This Row],[Completion_Status]]))</f>
        <v>Completed</v>
      </c>
      <c r="O28" t="str">
        <f>TRIM(PROPER(Raw_data[[#This Row],[Refund_Issued]]))</f>
        <v>Yes</v>
      </c>
      <c r="P28">
        <f>Raw_data[[#This Row],[Engagement_Score]]</f>
        <v>10</v>
      </c>
      <c r="Q28">
        <f>Raw_data[[#This Row],[Videos_Watched]]</f>
        <v>19</v>
      </c>
      <c r="R28" t="str">
        <f>TRIM(PROPER(Raw_data[[#This Row],[Assignments_Completed]]))</f>
        <v>No</v>
      </c>
      <c r="S28">
        <f>Raw_data[[#This Row],[Days_Inactive]]</f>
        <v>42</v>
      </c>
      <c r="T28">
        <f>Studentdata[[#This Row],[Course price]]-Studentdata[[#This Row],[Amount paid]]</f>
        <v>0</v>
      </c>
    </row>
    <row r="29" spans="1:20" x14ac:dyDescent="0.3">
      <c r="A29">
        <v>28</v>
      </c>
      <c r="B29" t="str">
        <f>Raw_data[[#This Row],[Student_ID]]</f>
        <v>S1075</v>
      </c>
      <c r="C29" t="str">
        <f>TRIM(PROPER(Raw_data[[#This Row],[Student_Name]]))</f>
        <v>Bhavna Verma</v>
      </c>
      <c r="D29">
        <f>Raw_data[[#This Row],[Age]]</f>
        <v>34</v>
      </c>
      <c r="E29" t="str">
        <f>TRIM(PROPER(Raw_data[[#This Row],[Gender]]))</f>
        <v>Male</v>
      </c>
      <c r="F29" t="str">
        <f>TRIM(PROPER(Raw_data[[#This Row],[City]]))</f>
        <v>Chennai</v>
      </c>
      <c r="G29" t="str">
        <f>TRIM(PROPER(Raw_data[[#This Row],[Course_Name]]))</f>
        <v>Sql Mastery</v>
      </c>
      <c r="H29" t="str">
        <f>TRIM(PROPER(Raw_data[[#This Row],[Course_Category]]))</f>
        <v>Analytics</v>
      </c>
      <c r="I29" s="1">
        <f>Raw_data[[#This Row],[Enrollment_Date]]</f>
        <v>45466</v>
      </c>
      <c r="J29" s="1">
        <f>Raw_data[[#This Row],[Last_Login_Date]]</f>
        <v>45564</v>
      </c>
      <c r="K29">
        <f>Raw_data[[#This Row],[Course_Price]]</f>
        <v>4000</v>
      </c>
      <c r="L29">
        <f>Raw_data[[#This Row],[Discount_Applied]]</f>
        <v>500</v>
      </c>
      <c r="M29">
        <f>Raw_data[[#This Row],[Amount_Paid]]</f>
        <v>3500</v>
      </c>
      <c r="N29" t="str">
        <f>TRIM(PROPER(Raw_data[[#This Row],[Completion_Status]]))</f>
        <v>Completed</v>
      </c>
      <c r="O29" t="str">
        <f>TRIM(PROPER(Raw_data[[#This Row],[Refund_Issued]]))</f>
        <v>Yes</v>
      </c>
      <c r="P29">
        <f>Raw_data[[#This Row],[Engagement_Score]]</f>
        <v>2</v>
      </c>
      <c r="Q29">
        <f>Raw_data[[#This Row],[Videos_Watched]]</f>
        <v>49</v>
      </c>
      <c r="R29" t="str">
        <f>TRIM(PROPER(Raw_data[[#This Row],[Assignments_Completed]]))</f>
        <v>No</v>
      </c>
      <c r="S29">
        <f>Raw_data[[#This Row],[Days_Inactive]]</f>
        <v>53</v>
      </c>
      <c r="T29">
        <f>Studentdata[[#This Row],[Course price]]-Studentdata[[#This Row],[Amount paid]]</f>
        <v>500</v>
      </c>
    </row>
    <row r="30" spans="1:20" x14ac:dyDescent="0.3">
      <c r="A30">
        <v>29</v>
      </c>
      <c r="B30" t="str">
        <f>Raw_data[[#This Row],[Student_ID]]</f>
        <v>S1110</v>
      </c>
      <c r="C30" t="str">
        <f>TRIM(PROPER(Raw_data[[#This Row],[Student_Name]]))</f>
        <v>Chirag Sharma</v>
      </c>
      <c r="D30">
        <f>Raw_data[[#This Row],[Age]]</f>
        <v>18</v>
      </c>
      <c r="E30" t="str">
        <f>TRIM(PROPER(Raw_data[[#This Row],[Gender]]))</f>
        <v>Male</v>
      </c>
      <c r="F30" t="str">
        <f>TRIM(PROPER(Raw_data[[#This Row],[City]]))</f>
        <v>Delhi</v>
      </c>
      <c r="G30" t="str">
        <f>TRIM(PROPER(Raw_data[[#This Row],[Course_Name]]))</f>
        <v>Sql Mastery</v>
      </c>
      <c r="H30" t="str">
        <f>TRIM(PROPER(Raw_data[[#This Row],[Course_Category]]))</f>
        <v>Analytics</v>
      </c>
      <c r="I30" s="1">
        <f>Raw_data[[#This Row],[Enrollment_Date]]</f>
        <v>45588</v>
      </c>
      <c r="J30" s="1">
        <f>Raw_data[[#This Row],[Last_Login_Date]]</f>
        <v>44986</v>
      </c>
      <c r="K30">
        <f>Raw_data[[#This Row],[Course_Price]]</f>
        <v>5000</v>
      </c>
      <c r="L30">
        <f>Raw_data[[#This Row],[Discount_Applied]]</f>
        <v>0</v>
      </c>
      <c r="M30">
        <f>Raw_data[[#This Row],[Amount_Paid]]</f>
        <v>5000</v>
      </c>
      <c r="N30" t="str">
        <f>TRIM(PROPER(Raw_data[[#This Row],[Completion_Status]]))</f>
        <v>Churned</v>
      </c>
      <c r="O30" t="str">
        <f>TRIM(PROPER(Raw_data[[#This Row],[Refund_Issued]]))</f>
        <v>Yes</v>
      </c>
      <c r="P30">
        <f>Raw_data[[#This Row],[Engagement_Score]]</f>
        <v>2</v>
      </c>
      <c r="Q30">
        <f>Raw_data[[#This Row],[Videos_Watched]]</f>
        <v>18</v>
      </c>
      <c r="R30" t="str">
        <f>TRIM(PROPER(Raw_data[[#This Row],[Assignments_Completed]]))</f>
        <v>No</v>
      </c>
      <c r="S30">
        <f>Raw_data[[#This Row],[Days_Inactive]]</f>
        <v>17</v>
      </c>
      <c r="T30">
        <f>Studentdata[[#This Row],[Course price]]-Studentdata[[#This Row],[Amount paid]]</f>
        <v>0</v>
      </c>
    </row>
    <row r="31" spans="1:20" x14ac:dyDescent="0.3">
      <c r="A31">
        <v>30</v>
      </c>
      <c r="B31" t="str">
        <f>Raw_data[[#This Row],[Student_ID]]</f>
        <v>S1146</v>
      </c>
      <c r="C31" t="str">
        <f>TRIM(PROPER(Raw_data[[#This Row],[Student_Name]]))</f>
        <v>Chris Dsouza</v>
      </c>
      <c r="D31">
        <f>Raw_data[[#This Row],[Age]]</f>
        <v>21</v>
      </c>
      <c r="E31" t="str">
        <f>TRIM(PROPER(Raw_data[[#This Row],[Gender]]))</f>
        <v>Male</v>
      </c>
      <c r="F31" t="str">
        <f>TRIM(PROPER(Raw_data[[#This Row],[City]]))</f>
        <v>Mumbai</v>
      </c>
      <c r="G31" t="str">
        <f>TRIM(PROPER(Raw_data[[#This Row],[Course_Name]]))</f>
        <v>Business Analysis Fundamentals</v>
      </c>
      <c r="H31" t="str">
        <f>TRIM(PROPER(Raw_data[[#This Row],[Course_Category]]))</f>
        <v>Analytics</v>
      </c>
      <c r="I31" s="1">
        <f>Raw_data[[#This Row],[Enrollment_Date]]</f>
        <v>45337</v>
      </c>
      <c r="J31" s="1">
        <f>Raw_data[[#This Row],[Last_Login_Date]]</f>
        <v>45430</v>
      </c>
      <c r="K31">
        <f>Raw_data[[#This Row],[Course_Price]]</f>
        <v>5000</v>
      </c>
      <c r="L31">
        <f>Raw_data[[#This Row],[Discount_Applied]]</f>
        <v>1000</v>
      </c>
      <c r="M31">
        <f>Raw_data[[#This Row],[Amount_Paid]]</f>
        <v>4000</v>
      </c>
      <c r="N31" t="str">
        <f>TRIM(PROPER(Raw_data[[#This Row],[Completion_Status]]))</f>
        <v>Completed</v>
      </c>
      <c r="O31" t="str">
        <f>TRIM(PROPER(Raw_data[[#This Row],[Refund_Issued]]))</f>
        <v>No</v>
      </c>
      <c r="P31">
        <f>Raw_data[[#This Row],[Engagement_Score]]</f>
        <v>3</v>
      </c>
      <c r="Q31">
        <f>Raw_data[[#This Row],[Videos_Watched]]</f>
        <v>43</v>
      </c>
      <c r="R31" t="str">
        <f>TRIM(PROPER(Raw_data[[#This Row],[Assignments_Completed]]))</f>
        <v>No</v>
      </c>
      <c r="S31">
        <f>Raw_data[[#This Row],[Days_Inactive]]</f>
        <v>67</v>
      </c>
      <c r="T31">
        <f>Studentdata[[#This Row],[Course price]]-Studentdata[[#This Row],[Amount paid]]</f>
        <v>1000</v>
      </c>
    </row>
    <row r="32" spans="1:20" x14ac:dyDescent="0.3">
      <c r="A32">
        <v>31</v>
      </c>
      <c r="B32" t="str">
        <f>Raw_data[[#This Row],[Student_ID]]</f>
        <v>S1147</v>
      </c>
      <c r="C32" t="str">
        <f>TRIM(PROPER(Raw_data[[#This Row],[Student_Name]]))</f>
        <v>Daniel Dsouza</v>
      </c>
      <c r="D32">
        <f>Raw_data[[#This Row],[Age]]</f>
        <v>32</v>
      </c>
      <c r="E32" t="str">
        <f>TRIM(PROPER(Raw_data[[#This Row],[Gender]]))</f>
        <v>Male</v>
      </c>
      <c r="F32" t="str">
        <f>TRIM(PROPER(Raw_data[[#This Row],[City]]))</f>
        <v>Hyderabad</v>
      </c>
      <c r="G32" t="str">
        <f>TRIM(PROPER(Raw_data[[#This Row],[Course_Name]]))</f>
        <v>Advanced Excel</v>
      </c>
      <c r="H32" t="str">
        <f>TRIM(PROPER(Raw_data[[#This Row],[Course_Category]]))</f>
        <v>Productivity</v>
      </c>
      <c r="I32" s="1">
        <f>Raw_data[[#This Row],[Enrollment_Date]]</f>
        <v>45502</v>
      </c>
      <c r="J32" s="1">
        <f>Raw_data[[#This Row],[Last_Login_Date]]</f>
        <v>44986</v>
      </c>
      <c r="K32">
        <f>Raw_data[[#This Row],[Course_Price]]</f>
        <v>6000</v>
      </c>
      <c r="L32">
        <f>Raw_data[[#This Row],[Discount_Applied]]</f>
        <v>500</v>
      </c>
      <c r="M32">
        <f>Raw_data[[#This Row],[Amount_Paid]]</f>
        <v>5500</v>
      </c>
      <c r="N32" t="str">
        <f>TRIM(PROPER(Raw_data[[#This Row],[Completion_Status]]))</f>
        <v>Completed</v>
      </c>
      <c r="O32" t="str">
        <f>TRIM(PROPER(Raw_data[[#This Row],[Refund_Issued]]))</f>
        <v>Yes</v>
      </c>
      <c r="P32">
        <f>Raw_data[[#This Row],[Engagement_Score]]</f>
        <v>2</v>
      </c>
      <c r="Q32">
        <f>Raw_data[[#This Row],[Videos_Watched]]</f>
        <v>46</v>
      </c>
      <c r="R32" t="str">
        <f>TRIM(PROPER(Raw_data[[#This Row],[Assignments_Completed]]))</f>
        <v>No</v>
      </c>
      <c r="S32">
        <f>Raw_data[[#This Row],[Days_Inactive]]</f>
        <v>0</v>
      </c>
      <c r="T32">
        <f>Studentdata[[#This Row],[Course price]]-Studentdata[[#This Row],[Amount paid]]</f>
        <v>500</v>
      </c>
    </row>
    <row r="33" spans="1:20" x14ac:dyDescent="0.3">
      <c r="A33">
        <v>32</v>
      </c>
      <c r="B33" t="str">
        <f>Raw_data[[#This Row],[Student_ID]]</f>
        <v>S1137</v>
      </c>
      <c r="C33" t="str">
        <f>TRIM(PROPER(Raw_data[[#This Row],[Student_Name]]))</f>
        <v>Danish Khan</v>
      </c>
      <c r="D33">
        <f>Raw_data[[#This Row],[Age]]</f>
        <v>22</v>
      </c>
      <c r="E33" t="str">
        <f>TRIM(PROPER(Raw_data[[#This Row],[Gender]]))</f>
        <v>Male</v>
      </c>
      <c r="F33" t="str">
        <f>TRIM(PROPER(Raw_data[[#This Row],[City]]))</f>
        <v>Hyderabad</v>
      </c>
      <c r="G33" t="str">
        <f>TRIM(PROPER(Raw_data[[#This Row],[Course_Name]]))</f>
        <v>Excel For Beginners</v>
      </c>
      <c r="H33" t="str">
        <f>TRIM(PROPER(Raw_data[[#This Row],[Course_Category]]))</f>
        <v>Productivity</v>
      </c>
      <c r="I33" s="1">
        <f>Raw_data[[#This Row],[Enrollment_Date]]</f>
        <v>45385</v>
      </c>
      <c r="J33" s="1">
        <f>Raw_data[[#This Row],[Last_Login_Date]]</f>
        <v>45432</v>
      </c>
      <c r="K33">
        <f>Raw_data[[#This Row],[Course_Price]]</f>
        <v>7000</v>
      </c>
      <c r="L33">
        <f>Raw_data[[#This Row],[Discount_Applied]]</f>
        <v>500</v>
      </c>
      <c r="M33">
        <f>Raw_data[[#This Row],[Amount_Paid]]</f>
        <v>6500</v>
      </c>
      <c r="N33" t="str">
        <f>TRIM(PROPER(Raw_data[[#This Row],[Completion_Status]]))</f>
        <v>Churned</v>
      </c>
      <c r="O33" t="str">
        <f>TRIM(PROPER(Raw_data[[#This Row],[Refund_Issued]]))</f>
        <v>Yes</v>
      </c>
      <c r="P33">
        <f>Raw_data[[#This Row],[Engagement_Score]]</f>
        <v>0</v>
      </c>
      <c r="Q33">
        <f>Raw_data[[#This Row],[Videos_Watched]]</f>
        <v>27</v>
      </c>
      <c r="R33" t="str">
        <f>TRIM(PROPER(Raw_data[[#This Row],[Assignments_Completed]]))</f>
        <v>No</v>
      </c>
      <c r="S33">
        <f>Raw_data[[#This Row],[Days_Inactive]]</f>
        <v>81</v>
      </c>
      <c r="T33">
        <f>Studentdata[[#This Row],[Course price]]-Studentdata[[#This Row],[Amount paid]]</f>
        <v>500</v>
      </c>
    </row>
    <row r="34" spans="1:20" x14ac:dyDescent="0.3">
      <c r="A34">
        <v>33</v>
      </c>
      <c r="B34" t="str">
        <f>Raw_data[[#This Row],[Student_ID]]</f>
        <v>S1048</v>
      </c>
      <c r="C34" t="str">
        <f>TRIM(PROPER(Raw_data[[#This Row],[Student_Name]]))</f>
        <v>Deepak Mishra</v>
      </c>
      <c r="D34">
        <f>Raw_data[[#This Row],[Age]]</f>
        <v>32</v>
      </c>
      <c r="E34" t="str">
        <f>TRIM(PROPER(Raw_data[[#This Row],[Gender]]))</f>
        <v>Male</v>
      </c>
      <c r="F34" t="str">
        <f>TRIM(PROPER(Raw_data[[#This Row],[City]]))</f>
        <v>Bangalore</v>
      </c>
      <c r="G34" t="str">
        <f>TRIM(PROPER(Raw_data[[#This Row],[Course_Name]]))</f>
        <v>Digital Marketing Pro</v>
      </c>
      <c r="H34" t="str">
        <f>TRIM(PROPER(Raw_data[[#This Row],[Course_Category]]))</f>
        <v>Marketing</v>
      </c>
      <c r="I34" s="1">
        <f>Raw_data[[#This Row],[Enrollment_Date]]</f>
        <v>45427</v>
      </c>
      <c r="J34" s="1">
        <f>Raw_data[[#This Row],[Last_Login_Date]]</f>
        <v>44986</v>
      </c>
      <c r="K34">
        <f>Raw_data[[#This Row],[Course_Price]]</f>
        <v>5000</v>
      </c>
      <c r="L34">
        <f>Raw_data[[#This Row],[Discount_Applied]]</f>
        <v>0</v>
      </c>
      <c r="M34">
        <f>Raw_data[[#This Row],[Amount_Paid]]</f>
        <v>5000</v>
      </c>
      <c r="N34" t="str">
        <f>TRIM(PROPER(Raw_data[[#This Row],[Completion_Status]]))</f>
        <v>Churned</v>
      </c>
      <c r="O34" t="str">
        <f>TRIM(PROPER(Raw_data[[#This Row],[Refund_Issued]]))</f>
        <v>Yes</v>
      </c>
      <c r="P34">
        <f>Raw_data[[#This Row],[Engagement_Score]]</f>
        <v>0</v>
      </c>
      <c r="Q34">
        <f>Raw_data[[#This Row],[Videos_Watched]]</f>
        <v>40</v>
      </c>
      <c r="R34" t="str">
        <f>TRIM(PROPER(Raw_data[[#This Row],[Assignments_Completed]]))</f>
        <v>No</v>
      </c>
      <c r="S34">
        <f>Raw_data[[#This Row],[Days_Inactive]]</f>
        <v>55</v>
      </c>
      <c r="T34">
        <f>Studentdata[[#This Row],[Course price]]-Studentdata[[#This Row],[Amount paid]]</f>
        <v>0</v>
      </c>
    </row>
    <row r="35" spans="1:20" x14ac:dyDescent="0.3">
      <c r="A35">
        <v>34</v>
      </c>
      <c r="B35" t="str">
        <f>Raw_data[[#This Row],[Student_ID]]</f>
        <v>S1020</v>
      </c>
      <c r="C35" t="str">
        <f>TRIM(PROPER(Raw_data[[#This Row],[Student_Name]]))</f>
        <v>Devansh Bansal</v>
      </c>
      <c r="D35">
        <f>Raw_data[[#This Row],[Age]]</f>
        <v>19</v>
      </c>
      <c r="E35" t="str">
        <f>TRIM(PROPER(Raw_data[[#This Row],[Gender]]))</f>
        <v>Male</v>
      </c>
      <c r="F35" t="str">
        <f>TRIM(PROPER(Raw_data[[#This Row],[City]]))</f>
        <v>Hyderabad</v>
      </c>
      <c r="G35" t="str">
        <f>TRIM(PROPER(Raw_data[[#This Row],[Course_Name]]))</f>
        <v>Python For Data Science</v>
      </c>
      <c r="H35" t="str">
        <f>TRIM(PROPER(Raw_data[[#This Row],[Course_Category]]))</f>
        <v>Programming</v>
      </c>
      <c r="I35" s="1">
        <f>Raw_data[[#This Row],[Enrollment_Date]]</f>
        <v>45418</v>
      </c>
      <c r="J35" s="1">
        <f>Raw_data[[#This Row],[Last_Login_Date]]</f>
        <v>45553</v>
      </c>
      <c r="K35">
        <f>Raw_data[[#This Row],[Course_Price]]</f>
        <v>3000</v>
      </c>
      <c r="L35">
        <f>Raw_data[[#This Row],[Discount_Applied]]</f>
        <v>500</v>
      </c>
      <c r="M35">
        <f>Raw_data[[#This Row],[Amount_Paid]]</f>
        <v>2500</v>
      </c>
      <c r="N35" t="str">
        <f>TRIM(PROPER(Raw_data[[#This Row],[Completion_Status]]))</f>
        <v>Churned</v>
      </c>
      <c r="O35" t="str">
        <f>TRIM(PROPER(Raw_data[[#This Row],[Refund_Issued]]))</f>
        <v>Yes</v>
      </c>
      <c r="P35">
        <f>Raw_data[[#This Row],[Engagement_Score]]</f>
        <v>0</v>
      </c>
      <c r="Q35">
        <f>Raw_data[[#This Row],[Videos_Watched]]</f>
        <v>22</v>
      </c>
      <c r="R35" t="str">
        <f>TRIM(PROPER(Raw_data[[#This Row],[Assignments_Completed]]))</f>
        <v>No</v>
      </c>
      <c r="S35">
        <f>Raw_data[[#This Row],[Days_Inactive]]</f>
        <v>86</v>
      </c>
      <c r="T35">
        <f>Studentdata[[#This Row],[Course price]]-Studentdata[[#This Row],[Amount paid]]</f>
        <v>500</v>
      </c>
    </row>
    <row r="36" spans="1:20" x14ac:dyDescent="0.3">
      <c r="A36">
        <v>35</v>
      </c>
      <c r="B36" t="str">
        <f>Raw_data[[#This Row],[Student_ID]]</f>
        <v>S1012</v>
      </c>
      <c r="C36" t="str">
        <f>TRIM(PROPER(Raw_data[[#This Row],[Student_Name]]))</f>
        <v>Dhruv Agarwal</v>
      </c>
      <c r="D36">
        <f>Raw_data[[#This Row],[Age]]</f>
        <v>26</v>
      </c>
      <c r="E36" t="str">
        <f>TRIM(PROPER(Raw_data[[#This Row],[Gender]]))</f>
        <v>Male</v>
      </c>
      <c r="F36" t="str">
        <f>TRIM(PROPER(Raw_data[[#This Row],[City]]))</f>
        <v>Mumbai</v>
      </c>
      <c r="G36" t="str">
        <f>TRIM(PROPER(Raw_data[[#This Row],[Course_Name]]))</f>
        <v>Excel For Beginners</v>
      </c>
      <c r="H36" t="str">
        <f>TRIM(PROPER(Raw_data[[#This Row],[Course_Category]]))</f>
        <v>Productivity</v>
      </c>
      <c r="I36" s="1">
        <f>Raw_data[[#This Row],[Enrollment_Date]]</f>
        <v>45317</v>
      </c>
      <c r="J36" s="1">
        <f>Raw_data[[#This Row],[Last_Login_Date]]</f>
        <v>45400</v>
      </c>
      <c r="K36">
        <f>Raw_data[[#This Row],[Course_Price]]</f>
        <v>3000</v>
      </c>
      <c r="L36">
        <f>Raw_data[[#This Row],[Discount_Applied]]</f>
        <v>500</v>
      </c>
      <c r="M36">
        <f>Raw_data[[#This Row],[Amount_Paid]]</f>
        <v>2500</v>
      </c>
      <c r="N36" t="str">
        <f>TRIM(PROPER(Raw_data[[#This Row],[Completion_Status]]))</f>
        <v>Completed</v>
      </c>
      <c r="O36" t="str">
        <f>TRIM(PROPER(Raw_data[[#This Row],[Refund_Issued]]))</f>
        <v>No</v>
      </c>
      <c r="P36">
        <f>Raw_data[[#This Row],[Engagement_Score]]</f>
        <v>8</v>
      </c>
      <c r="Q36">
        <f>Raw_data[[#This Row],[Videos_Watched]]</f>
        <v>25</v>
      </c>
      <c r="R36" t="str">
        <f>TRIM(PROPER(Raw_data[[#This Row],[Assignments_Completed]]))</f>
        <v>Yes</v>
      </c>
      <c r="S36">
        <f>Raw_data[[#This Row],[Days_Inactive]]</f>
        <v>10</v>
      </c>
      <c r="T36">
        <f>Studentdata[[#This Row],[Course price]]-Studentdata[[#This Row],[Amount paid]]</f>
        <v>500</v>
      </c>
    </row>
    <row r="37" spans="1:20" x14ac:dyDescent="0.3">
      <c r="A37">
        <v>36</v>
      </c>
      <c r="B37" t="str">
        <f>Raw_data[[#This Row],[Student_ID]]</f>
        <v>S1107</v>
      </c>
      <c r="C37" t="str">
        <f>TRIM(PROPER(Raw_data[[#This Row],[Student_Name]]))</f>
        <v>Dinesh Mishra</v>
      </c>
      <c r="D37">
        <f>Raw_data[[#This Row],[Age]]</f>
        <v>26</v>
      </c>
      <c r="E37" t="str">
        <f>TRIM(PROPER(Raw_data[[#This Row],[Gender]]))</f>
        <v>Male</v>
      </c>
      <c r="F37" t="str">
        <f>TRIM(PROPER(Raw_data[[#This Row],[City]]))</f>
        <v>Hyderabad</v>
      </c>
      <c r="G37" t="str">
        <f>TRIM(PROPER(Raw_data[[#This Row],[Course_Name]]))</f>
        <v>Excel For Beginners</v>
      </c>
      <c r="H37" t="str">
        <f>TRIM(PROPER(Raw_data[[#This Row],[Course_Category]]))</f>
        <v>Productivity</v>
      </c>
      <c r="I37" s="1">
        <f>Raw_data[[#This Row],[Enrollment_Date]]</f>
        <v>45530</v>
      </c>
      <c r="J37" s="1">
        <f>Raw_data[[#This Row],[Last_Login_Date]]</f>
        <v>44986</v>
      </c>
      <c r="K37">
        <f>Raw_data[[#This Row],[Course_Price]]</f>
        <v>5000</v>
      </c>
      <c r="L37">
        <f>Raw_data[[#This Row],[Discount_Applied]]</f>
        <v>0</v>
      </c>
      <c r="M37">
        <f>Raw_data[[#This Row],[Amount_Paid]]</f>
        <v>5000</v>
      </c>
      <c r="N37" t="str">
        <f>TRIM(PROPER(Raw_data[[#This Row],[Completion_Status]]))</f>
        <v>Churned</v>
      </c>
      <c r="O37" t="str">
        <f>TRIM(PROPER(Raw_data[[#This Row],[Refund_Issued]]))</f>
        <v>Yes</v>
      </c>
      <c r="P37">
        <f>Raw_data[[#This Row],[Engagement_Score]]</f>
        <v>0</v>
      </c>
      <c r="Q37">
        <f>Raw_data[[#This Row],[Videos_Watched]]</f>
        <v>39</v>
      </c>
      <c r="R37" t="str">
        <f>TRIM(PROPER(Raw_data[[#This Row],[Assignments_Completed]]))</f>
        <v>No</v>
      </c>
      <c r="S37">
        <f>Raw_data[[#This Row],[Days_Inactive]]</f>
        <v>0</v>
      </c>
      <c r="T37">
        <f>Studentdata[[#This Row],[Course price]]-Studentdata[[#This Row],[Amount paid]]</f>
        <v>0</v>
      </c>
    </row>
    <row r="38" spans="1:20" x14ac:dyDescent="0.3">
      <c r="A38">
        <v>37</v>
      </c>
      <c r="B38" t="str">
        <f>Raw_data[[#This Row],[Student_ID]]</f>
        <v>S1058</v>
      </c>
      <c r="C38" t="str">
        <f>TRIM(PROPER(Raw_data[[#This Row],[Student_Name]]))</f>
        <v>Divya Jain</v>
      </c>
      <c r="D38">
        <f>Raw_data[[#This Row],[Age]]</f>
        <v>19</v>
      </c>
      <c r="E38" t="str">
        <f>TRIM(PROPER(Raw_data[[#This Row],[Gender]]))</f>
        <v>Female</v>
      </c>
      <c r="F38" t="str">
        <f>TRIM(PROPER(Raw_data[[#This Row],[City]]))</f>
        <v>Chandigarh</v>
      </c>
      <c r="G38" t="str">
        <f>TRIM(PROPER(Raw_data[[#This Row],[Course_Name]]))</f>
        <v>Excel For Beginners</v>
      </c>
      <c r="H38" t="str">
        <f>TRIM(PROPER(Raw_data[[#This Row],[Course_Category]]))</f>
        <v>Productivity</v>
      </c>
      <c r="I38" s="1">
        <f>Raw_data[[#This Row],[Enrollment_Date]]</f>
        <v>45575</v>
      </c>
      <c r="J38" s="1">
        <f>Raw_data[[#This Row],[Last_Login_Date]]</f>
        <v>45601</v>
      </c>
      <c r="K38">
        <f>Raw_data[[#This Row],[Course_Price]]</f>
        <v>6000</v>
      </c>
      <c r="L38">
        <f>Raw_data[[#This Row],[Discount_Applied]]</f>
        <v>500</v>
      </c>
      <c r="M38">
        <f>Raw_data[[#This Row],[Amount_Paid]]</f>
        <v>5500</v>
      </c>
      <c r="N38" t="str">
        <f>TRIM(PROPER(Raw_data[[#This Row],[Completion_Status]]))</f>
        <v>Completed</v>
      </c>
      <c r="O38" t="str">
        <f>TRIM(PROPER(Raw_data[[#This Row],[Refund_Issued]]))</f>
        <v>No</v>
      </c>
      <c r="P38">
        <f>Raw_data[[#This Row],[Engagement_Score]]</f>
        <v>0</v>
      </c>
      <c r="Q38">
        <f>Raw_data[[#This Row],[Videos_Watched]]</f>
        <v>9</v>
      </c>
      <c r="R38" t="str">
        <f>TRIM(PROPER(Raw_data[[#This Row],[Assignments_Completed]]))</f>
        <v>No</v>
      </c>
      <c r="S38">
        <f>Raw_data[[#This Row],[Days_Inactive]]</f>
        <v>34</v>
      </c>
      <c r="T38">
        <f>Studentdata[[#This Row],[Course price]]-Studentdata[[#This Row],[Amount paid]]</f>
        <v>500</v>
      </c>
    </row>
    <row r="39" spans="1:20" x14ac:dyDescent="0.3">
      <c r="A39">
        <v>38</v>
      </c>
      <c r="B39" t="str">
        <f>Raw_data[[#This Row],[Student_ID]]</f>
        <v>S1023</v>
      </c>
      <c r="C39" t="str">
        <f>TRIM(PROPER(Raw_data[[#This Row],[Student_Name]]))</f>
        <v>Diya Kapoor</v>
      </c>
      <c r="D39">
        <f>Raw_data[[#This Row],[Age]]</f>
        <v>23</v>
      </c>
      <c r="E39" t="str">
        <f>TRIM(PROPER(Raw_data[[#This Row],[Gender]]))</f>
        <v>Female</v>
      </c>
      <c r="F39" t="str">
        <f>TRIM(PROPER(Raw_data[[#This Row],[City]]))</f>
        <v>Jaipur</v>
      </c>
      <c r="G39" t="str">
        <f>TRIM(PROPER(Raw_data[[#This Row],[Course_Name]]))</f>
        <v>Power Bi Complete Guide</v>
      </c>
      <c r="H39" t="str">
        <f>TRIM(PROPER(Raw_data[[#This Row],[Course_Category]]))</f>
        <v>Analytics</v>
      </c>
      <c r="I39" s="1">
        <f>Raw_data[[#This Row],[Enrollment_Date]]</f>
        <v>45438</v>
      </c>
      <c r="J39" s="1">
        <f>Raw_data[[#This Row],[Last_Login_Date]]</f>
        <v>45464</v>
      </c>
      <c r="K39">
        <f>Raw_data[[#This Row],[Course_Price]]</f>
        <v>6000</v>
      </c>
      <c r="L39">
        <f>Raw_data[[#This Row],[Discount_Applied]]</f>
        <v>500</v>
      </c>
      <c r="M39">
        <f>Raw_data[[#This Row],[Amount_Paid]]</f>
        <v>5500</v>
      </c>
      <c r="N39" t="str">
        <f>TRIM(PROPER(Raw_data[[#This Row],[Completion_Status]]))</f>
        <v>Churned</v>
      </c>
      <c r="O39" t="str">
        <f>TRIM(PROPER(Raw_data[[#This Row],[Refund_Issued]]))</f>
        <v>No</v>
      </c>
      <c r="P39">
        <f>Raw_data[[#This Row],[Engagement_Score]]</f>
        <v>0</v>
      </c>
      <c r="Q39">
        <f>Raw_data[[#This Row],[Videos_Watched]]</f>
        <v>50</v>
      </c>
      <c r="R39" t="str">
        <f>TRIM(PROPER(Raw_data[[#This Row],[Assignments_Completed]]))</f>
        <v>No</v>
      </c>
      <c r="S39">
        <f>Raw_data[[#This Row],[Days_Inactive]]</f>
        <v>0</v>
      </c>
      <c r="T39">
        <f>Studentdata[[#This Row],[Course price]]-Studentdata[[#This Row],[Amount paid]]</f>
        <v>500</v>
      </c>
    </row>
    <row r="40" spans="1:20" x14ac:dyDescent="0.3">
      <c r="A40">
        <v>39</v>
      </c>
      <c r="B40" t="str">
        <f>Raw_data[[#This Row],[Student_ID]]</f>
        <v>S1134</v>
      </c>
      <c r="C40" t="str">
        <f>TRIM(PROPER(Raw_data[[#This Row],[Student_Name]]))</f>
        <v>Faizan Khan</v>
      </c>
      <c r="D40">
        <f>Raw_data[[#This Row],[Age]]</f>
        <v>32</v>
      </c>
      <c r="E40" t="str">
        <f>TRIM(PROPER(Raw_data[[#This Row],[Gender]]))</f>
        <v>Male</v>
      </c>
      <c r="F40" t="str">
        <f>TRIM(PROPER(Raw_data[[#This Row],[City]]))</f>
        <v>Delhi</v>
      </c>
      <c r="G40" t="str">
        <f>TRIM(PROPER(Raw_data[[#This Row],[Course_Name]]))</f>
        <v>Excel For Beginners</v>
      </c>
      <c r="H40" t="str">
        <f>TRIM(PROPER(Raw_data[[#This Row],[Course_Category]]))</f>
        <v>Productivity</v>
      </c>
      <c r="I40" s="1">
        <f>Raw_data[[#This Row],[Enrollment_Date]]</f>
        <v>45303</v>
      </c>
      <c r="J40" s="1">
        <f>Raw_data[[#This Row],[Last_Login_Date]]</f>
        <v>45411</v>
      </c>
      <c r="K40">
        <f>Raw_data[[#This Row],[Course_Price]]</f>
        <v>5000</v>
      </c>
      <c r="L40">
        <f>Raw_data[[#This Row],[Discount_Applied]]</f>
        <v>500</v>
      </c>
      <c r="M40">
        <f>Raw_data[[#This Row],[Amount_Paid]]</f>
        <v>4500</v>
      </c>
      <c r="N40" t="str">
        <f>TRIM(PROPER(Raw_data[[#This Row],[Completion_Status]]))</f>
        <v>Churned</v>
      </c>
      <c r="O40" t="str">
        <f>TRIM(PROPER(Raw_data[[#This Row],[Refund_Issued]]))</f>
        <v>No</v>
      </c>
      <c r="P40">
        <f>Raw_data[[#This Row],[Engagement_Score]]</f>
        <v>3</v>
      </c>
      <c r="Q40">
        <f>Raw_data[[#This Row],[Videos_Watched]]</f>
        <v>10</v>
      </c>
      <c r="R40" t="str">
        <f>TRIM(PROPER(Raw_data[[#This Row],[Assignments_Completed]]))</f>
        <v>Yes</v>
      </c>
      <c r="S40">
        <f>Raw_data[[#This Row],[Days_Inactive]]</f>
        <v>0</v>
      </c>
      <c r="T40">
        <f>Studentdata[[#This Row],[Course price]]-Studentdata[[#This Row],[Amount paid]]</f>
        <v>500</v>
      </c>
    </row>
    <row r="41" spans="1:20" x14ac:dyDescent="0.3">
      <c r="A41">
        <v>40</v>
      </c>
      <c r="B41" t="str">
        <f>Raw_data[[#This Row],[Student_ID]]</f>
        <v>S1131</v>
      </c>
      <c r="C41" t="str">
        <f>TRIM(PROPER(Raw_data[[#This Row],[Student_Name]]))</f>
        <v>Farhan Ali</v>
      </c>
      <c r="D41">
        <f>Raw_data[[#This Row],[Age]]</f>
        <v>25</v>
      </c>
      <c r="E41" t="str">
        <f>TRIM(PROPER(Raw_data[[#This Row],[Gender]]))</f>
        <v>Male</v>
      </c>
      <c r="F41" t="str">
        <f>TRIM(PROPER(Raw_data[[#This Row],[City]]))</f>
        <v>Kolkata</v>
      </c>
      <c r="G41" t="str">
        <f>TRIM(PROPER(Raw_data[[#This Row],[Course_Name]]))</f>
        <v>Excel For Beginners</v>
      </c>
      <c r="H41" t="str">
        <f>TRIM(PROPER(Raw_data[[#This Row],[Course_Category]]))</f>
        <v>Productivity</v>
      </c>
      <c r="I41" s="1">
        <f>Raw_data[[#This Row],[Enrollment_Date]]</f>
        <v>45521</v>
      </c>
      <c r="J41" s="1">
        <f>Raw_data[[#This Row],[Last_Login_Date]]</f>
        <v>44986</v>
      </c>
      <c r="K41">
        <f>Raw_data[[#This Row],[Course_Price]]</f>
        <v>7000</v>
      </c>
      <c r="L41">
        <f>Raw_data[[#This Row],[Discount_Applied]]</f>
        <v>0</v>
      </c>
      <c r="M41">
        <f>Raw_data[[#This Row],[Amount_Paid]]</f>
        <v>7000</v>
      </c>
      <c r="N41" t="str">
        <f>TRIM(PROPER(Raw_data[[#This Row],[Completion_Status]]))</f>
        <v>Churned</v>
      </c>
      <c r="O41" t="str">
        <f>TRIM(PROPER(Raw_data[[#This Row],[Refund_Issued]]))</f>
        <v>No</v>
      </c>
      <c r="P41">
        <f>Raw_data[[#This Row],[Engagement_Score]]</f>
        <v>7</v>
      </c>
      <c r="Q41">
        <f>Raw_data[[#This Row],[Videos_Watched]]</f>
        <v>50</v>
      </c>
      <c r="R41" t="str">
        <f>TRIM(PROPER(Raw_data[[#This Row],[Assignments_Completed]]))</f>
        <v>Yes</v>
      </c>
      <c r="S41">
        <f>Raw_data[[#This Row],[Days_Inactive]]</f>
        <v>68</v>
      </c>
      <c r="T41">
        <f>Studentdata[[#This Row],[Course price]]-Studentdata[[#This Row],[Amount paid]]</f>
        <v>0</v>
      </c>
    </row>
    <row r="42" spans="1:20" x14ac:dyDescent="0.3">
      <c r="A42">
        <v>41</v>
      </c>
      <c r="B42" t="str">
        <f>Raw_data[[#This Row],[Student_ID]]</f>
        <v>S1068</v>
      </c>
      <c r="C42" t="str">
        <f>TRIM(PROPER(Raw_data[[#This Row],[Student_Name]]))</f>
        <v>Gaurav Jain</v>
      </c>
      <c r="D42">
        <f>Raw_data[[#This Row],[Age]]</f>
        <v>19</v>
      </c>
      <c r="E42" t="str">
        <f>TRIM(PROPER(Raw_data[[#This Row],[Gender]]))</f>
        <v>Male</v>
      </c>
      <c r="F42" t="str">
        <f>TRIM(PROPER(Raw_data[[#This Row],[City]]))</f>
        <v>Ahmedabad</v>
      </c>
      <c r="G42" t="str">
        <f>TRIM(PROPER(Raw_data[[#This Row],[Course_Name]]))</f>
        <v>Python For Data Science</v>
      </c>
      <c r="H42" t="str">
        <f>TRIM(PROPER(Raw_data[[#This Row],[Course_Category]]))</f>
        <v>Programming</v>
      </c>
      <c r="I42" s="1">
        <f>Raw_data[[#This Row],[Enrollment_Date]]</f>
        <v>45586</v>
      </c>
      <c r="J42" s="1">
        <f>Raw_data[[#This Row],[Last_Login_Date]]</f>
        <v>44986</v>
      </c>
      <c r="K42">
        <f>Raw_data[[#This Row],[Course_Price]]</f>
        <v>5000</v>
      </c>
      <c r="L42">
        <f>Raw_data[[#This Row],[Discount_Applied]]</f>
        <v>500</v>
      </c>
      <c r="M42">
        <f>Raw_data[[#This Row],[Amount_Paid]]</f>
        <v>4500</v>
      </c>
      <c r="N42" t="str">
        <f>TRIM(PROPER(Raw_data[[#This Row],[Completion_Status]]))</f>
        <v>Completed</v>
      </c>
      <c r="O42" t="str">
        <f>TRIM(PROPER(Raw_data[[#This Row],[Refund_Issued]]))</f>
        <v>Yes</v>
      </c>
      <c r="P42">
        <f>Raw_data[[#This Row],[Engagement_Score]]</f>
        <v>0</v>
      </c>
      <c r="Q42">
        <f>Raw_data[[#This Row],[Videos_Watched]]</f>
        <v>10</v>
      </c>
      <c r="R42" t="str">
        <f>TRIM(PROPER(Raw_data[[#This Row],[Assignments_Completed]]))</f>
        <v>No</v>
      </c>
      <c r="S42">
        <f>Raw_data[[#This Row],[Days_Inactive]]</f>
        <v>0</v>
      </c>
      <c r="T42">
        <f>Studentdata[[#This Row],[Course price]]-Studentdata[[#This Row],[Amount paid]]</f>
        <v>500</v>
      </c>
    </row>
    <row r="43" spans="1:20" x14ac:dyDescent="0.3">
      <c r="A43">
        <v>42</v>
      </c>
      <c r="B43" t="str">
        <f>Raw_data[[#This Row],[Student_ID]]</f>
        <v>S1097</v>
      </c>
      <c r="C43" t="str">
        <f>TRIM(PROPER(Raw_data[[#This Row],[Student_Name]]))</f>
        <v>Geeta Mishra</v>
      </c>
      <c r="D43">
        <f>Raw_data[[#This Row],[Age]]</f>
        <v>30</v>
      </c>
      <c r="E43" t="str">
        <f>TRIM(PROPER(Raw_data[[#This Row],[Gender]]))</f>
        <v>Female</v>
      </c>
      <c r="F43" t="str">
        <f>TRIM(PROPER(Raw_data[[#This Row],[City]]))</f>
        <v>Jaipur</v>
      </c>
      <c r="G43" t="str">
        <f>TRIM(PROPER(Raw_data[[#This Row],[Course_Name]]))</f>
        <v>Advanced Excel</v>
      </c>
      <c r="H43" t="str">
        <f>TRIM(PROPER(Raw_data[[#This Row],[Course_Category]]))</f>
        <v>Productivity</v>
      </c>
      <c r="I43" s="1">
        <f>Raw_data[[#This Row],[Enrollment_Date]]</f>
        <v>45393</v>
      </c>
      <c r="J43" s="1">
        <f>Raw_data[[#This Row],[Last_Login_Date]]</f>
        <v>44986</v>
      </c>
      <c r="K43">
        <f>Raw_data[[#This Row],[Course_Price]]</f>
        <v>7000</v>
      </c>
      <c r="L43">
        <f>Raw_data[[#This Row],[Discount_Applied]]</f>
        <v>0</v>
      </c>
      <c r="M43">
        <f>Raw_data[[#This Row],[Amount_Paid]]</f>
        <v>7000</v>
      </c>
      <c r="N43" t="str">
        <f>TRIM(PROPER(Raw_data[[#This Row],[Completion_Status]]))</f>
        <v>Completed</v>
      </c>
      <c r="O43" t="str">
        <f>TRIM(PROPER(Raw_data[[#This Row],[Refund_Issued]]))</f>
        <v>Yes</v>
      </c>
      <c r="P43">
        <f>Raw_data[[#This Row],[Engagement_Score]]</f>
        <v>0</v>
      </c>
      <c r="Q43">
        <f>Raw_data[[#This Row],[Videos_Watched]]</f>
        <v>33</v>
      </c>
      <c r="R43" t="str">
        <f>TRIM(PROPER(Raw_data[[#This Row],[Assignments_Completed]]))</f>
        <v>No</v>
      </c>
      <c r="S43">
        <f>Raw_data[[#This Row],[Days_Inactive]]</f>
        <v>77</v>
      </c>
      <c r="T43">
        <f>Studentdata[[#This Row],[Course price]]-Studentdata[[#This Row],[Amount paid]]</f>
        <v>0</v>
      </c>
    </row>
    <row r="44" spans="1:20" x14ac:dyDescent="0.3">
      <c r="A44">
        <v>43</v>
      </c>
      <c r="B44" t="str">
        <f>Raw_data[[#This Row],[Student_ID]]</f>
        <v>S1018</v>
      </c>
      <c r="C44" t="str">
        <f>TRIM(PROPER(Raw_data[[#This Row],[Student_Name]]))</f>
        <v>Harsh Vardhan</v>
      </c>
      <c r="D44">
        <f>Raw_data[[#This Row],[Age]]</f>
        <v>32</v>
      </c>
      <c r="E44" t="str">
        <f>TRIM(PROPER(Raw_data[[#This Row],[Gender]]))</f>
        <v>Male</v>
      </c>
      <c r="F44" t="str">
        <f>TRIM(PROPER(Raw_data[[#This Row],[City]]))</f>
        <v>Delhi</v>
      </c>
      <c r="G44" t="str">
        <f>TRIM(PROPER(Raw_data[[#This Row],[Course_Name]]))</f>
        <v>Excel For Beginners</v>
      </c>
      <c r="H44" t="str">
        <f>TRIM(PROPER(Raw_data[[#This Row],[Course_Category]]))</f>
        <v>Productivity</v>
      </c>
      <c r="I44" s="1">
        <f>Raw_data[[#This Row],[Enrollment_Date]]</f>
        <v>45645</v>
      </c>
      <c r="J44" s="1">
        <f>Raw_data[[#This Row],[Last_Login_Date]]</f>
        <v>45760</v>
      </c>
      <c r="K44">
        <f>Raw_data[[#This Row],[Course_Price]]</f>
        <v>6000</v>
      </c>
      <c r="L44">
        <f>Raw_data[[#This Row],[Discount_Applied]]</f>
        <v>1000</v>
      </c>
      <c r="M44">
        <f>Raw_data[[#This Row],[Amount_Paid]]</f>
        <v>5000</v>
      </c>
      <c r="N44" t="str">
        <f>TRIM(PROPER(Raw_data[[#This Row],[Completion_Status]]))</f>
        <v>Churned</v>
      </c>
      <c r="O44" t="str">
        <f>TRIM(PROPER(Raw_data[[#This Row],[Refund_Issued]]))</f>
        <v>Yes</v>
      </c>
      <c r="P44">
        <f>Raw_data[[#This Row],[Engagement_Score]]</f>
        <v>3</v>
      </c>
      <c r="Q44">
        <f>Raw_data[[#This Row],[Videos_Watched]]</f>
        <v>2</v>
      </c>
      <c r="R44" t="str">
        <f>TRIM(PROPER(Raw_data[[#This Row],[Assignments_Completed]]))</f>
        <v>Yes</v>
      </c>
      <c r="S44">
        <f>Raw_data[[#This Row],[Days_Inactive]]</f>
        <v>0</v>
      </c>
      <c r="T44">
        <f>Studentdata[[#This Row],[Course price]]-Studentdata[[#This Row],[Amount paid]]</f>
        <v>1000</v>
      </c>
    </row>
    <row r="45" spans="1:20" x14ac:dyDescent="0.3">
      <c r="A45">
        <v>44</v>
      </c>
      <c r="B45" t="str">
        <f>Raw_data[[#This Row],[Student_ID]]</f>
        <v>S1119</v>
      </c>
      <c r="C45" t="str">
        <f>TRIM(PROPER(Raw_data[[#This Row],[Student_Name]]))</f>
        <v>Heena Agarwal</v>
      </c>
      <c r="D45">
        <f>Raw_data[[#This Row],[Age]]</f>
        <v>33</v>
      </c>
      <c r="E45" t="str">
        <f>TRIM(PROPER(Raw_data[[#This Row],[Gender]]))</f>
        <v>Female</v>
      </c>
      <c r="F45" t="str">
        <f>TRIM(PROPER(Raw_data[[#This Row],[City]]))</f>
        <v>Bangalore</v>
      </c>
      <c r="G45" t="str">
        <f>TRIM(PROPER(Raw_data[[#This Row],[Course_Name]]))</f>
        <v>Python For Data Science</v>
      </c>
      <c r="H45" t="str">
        <f>TRIM(PROPER(Raw_data[[#This Row],[Course_Category]]))</f>
        <v>Programming</v>
      </c>
      <c r="I45" s="1">
        <f>Raw_data[[#This Row],[Enrollment_Date]]</f>
        <v>45378</v>
      </c>
      <c r="J45" s="1">
        <f>Raw_data[[#This Row],[Last_Login_Date]]</f>
        <v>44986</v>
      </c>
      <c r="K45">
        <f>Raw_data[[#This Row],[Course_Price]]</f>
        <v>4000</v>
      </c>
      <c r="L45">
        <f>Raw_data[[#This Row],[Discount_Applied]]</f>
        <v>0</v>
      </c>
      <c r="M45">
        <f>Raw_data[[#This Row],[Amount_Paid]]</f>
        <v>4000</v>
      </c>
      <c r="N45" t="str">
        <f>TRIM(PROPER(Raw_data[[#This Row],[Completion_Status]]))</f>
        <v>Churned</v>
      </c>
      <c r="O45" t="str">
        <f>TRIM(PROPER(Raw_data[[#This Row],[Refund_Issued]]))</f>
        <v>Yes</v>
      </c>
      <c r="P45">
        <f>Raw_data[[#This Row],[Engagement_Score]]</f>
        <v>9</v>
      </c>
      <c r="Q45">
        <f>Raw_data[[#This Row],[Videos_Watched]]</f>
        <v>42</v>
      </c>
      <c r="R45" t="str">
        <f>TRIM(PROPER(Raw_data[[#This Row],[Assignments_Completed]]))</f>
        <v>Yes</v>
      </c>
      <c r="S45">
        <f>Raw_data[[#This Row],[Days_Inactive]]</f>
        <v>0</v>
      </c>
      <c r="T45">
        <f>Studentdata[[#This Row],[Course price]]-Studentdata[[#This Row],[Amount paid]]</f>
        <v>0</v>
      </c>
    </row>
    <row r="46" spans="1:20" x14ac:dyDescent="0.3">
      <c r="A46">
        <v>45</v>
      </c>
      <c r="B46" t="str">
        <f>Raw_data[[#This Row],[Student_ID]]</f>
        <v>S1069</v>
      </c>
      <c r="C46" t="str">
        <f>TRIM(PROPER(Raw_data[[#This Row],[Student_Name]]))</f>
        <v>Himanshu Agarwal</v>
      </c>
      <c r="D46">
        <f>Raw_data[[#This Row],[Age]]</f>
        <v>31</v>
      </c>
      <c r="E46" t="str">
        <f>TRIM(PROPER(Raw_data[[#This Row],[Gender]]))</f>
        <v>Male</v>
      </c>
      <c r="F46" t="str">
        <f>TRIM(PROPER(Raw_data[[#This Row],[City]]))</f>
        <v>Chandigarh</v>
      </c>
      <c r="G46" t="str">
        <f>TRIM(PROPER(Raw_data[[#This Row],[Course_Name]]))</f>
        <v>Excel For Beginners</v>
      </c>
      <c r="H46" t="str">
        <f>TRIM(PROPER(Raw_data[[#This Row],[Course_Category]]))</f>
        <v>Productivity</v>
      </c>
      <c r="I46" s="1">
        <f>Raw_data[[#This Row],[Enrollment_Date]]</f>
        <v>45494</v>
      </c>
      <c r="J46" s="1">
        <f>Raw_data[[#This Row],[Last_Login_Date]]</f>
        <v>45605</v>
      </c>
      <c r="K46">
        <f>Raw_data[[#This Row],[Course_Price]]</f>
        <v>4000</v>
      </c>
      <c r="L46">
        <f>Raw_data[[#This Row],[Discount_Applied]]</f>
        <v>1000</v>
      </c>
      <c r="M46">
        <f>Raw_data[[#This Row],[Amount_Paid]]</f>
        <v>3000</v>
      </c>
      <c r="N46" t="str">
        <f>TRIM(PROPER(Raw_data[[#This Row],[Completion_Status]]))</f>
        <v>Churned</v>
      </c>
      <c r="O46" t="str">
        <f>TRIM(PROPER(Raw_data[[#This Row],[Refund_Issued]]))</f>
        <v>No</v>
      </c>
      <c r="P46">
        <f>Raw_data[[#This Row],[Engagement_Score]]</f>
        <v>9</v>
      </c>
      <c r="Q46">
        <f>Raw_data[[#This Row],[Videos_Watched]]</f>
        <v>7</v>
      </c>
      <c r="R46" t="str">
        <f>TRIM(PROPER(Raw_data[[#This Row],[Assignments_Completed]]))</f>
        <v>No</v>
      </c>
      <c r="S46">
        <f>Raw_data[[#This Row],[Days_Inactive]]</f>
        <v>0</v>
      </c>
      <c r="T46">
        <f>Studentdata[[#This Row],[Course price]]-Studentdata[[#This Row],[Amount paid]]</f>
        <v>1000</v>
      </c>
    </row>
    <row r="47" spans="1:20" x14ac:dyDescent="0.3">
      <c r="A47">
        <v>46</v>
      </c>
      <c r="B47" t="str">
        <f>Raw_data[[#This Row],[Student_ID]]</f>
        <v>S1132</v>
      </c>
      <c r="C47" t="str">
        <f>TRIM(PROPER(Raw_data[[#This Row],[Student_Name]]))</f>
        <v>Imran Khan</v>
      </c>
      <c r="D47">
        <f>Raw_data[[#This Row],[Age]]</f>
        <v>25</v>
      </c>
      <c r="E47" t="str">
        <f>TRIM(PROPER(Raw_data[[#This Row],[Gender]]))</f>
        <v>Male</v>
      </c>
      <c r="F47" t="str">
        <f>TRIM(PROPER(Raw_data[[#This Row],[City]]))</f>
        <v>Chandigarh</v>
      </c>
      <c r="G47" t="str">
        <f>TRIM(PROPER(Raw_data[[#This Row],[Course_Name]]))</f>
        <v>Business Analysis Fundamentals</v>
      </c>
      <c r="H47" t="str">
        <f>TRIM(PROPER(Raw_data[[#This Row],[Course_Category]]))</f>
        <v>Analytics</v>
      </c>
      <c r="I47" s="1">
        <f>Raw_data[[#This Row],[Enrollment_Date]]</f>
        <v>45461</v>
      </c>
      <c r="J47" s="1">
        <f>Raw_data[[#This Row],[Last_Login_Date]]</f>
        <v>45562</v>
      </c>
      <c r="K47">
        <f>Raw_data[[#This Row],[Course_Price]]</f>
        <v>3000</v>
      </c>
      <c r="L47">
        <f>Raw_data[[#This Row],[Discount_Applied]]</f>
        <v>0</v>
      </c>
      <c r="M47">
        <f>Raw_data[[#This Row],[Amount_Paid]]</f>
        <v>3000</v>
      </c>
      <c r="N47" t="str">
        <f>TRIM(PROPER(Raw_data[[#This Row],[Completion_Status]]))</f>
        <v>Completed</v>
      </c>
      <c r="O47" t="str">
        <f>TRIM(PROPER(Raw_data[[#This Row],[Refund_Issued]]))</f>
        <v>No</v>
      </c>
      <c r="P47">
        <f>Raw_data[[#This Row],[Engagement_Score]]</f>
        <v>9</v>
      </c>
      <c r="Q47">
        <f>Raw_data[[#This Row],[Videos_Watched]]</f>
        <v>37</v>
      </c>
      <c r="R47" t="str">
        <f>TRIM(PROPER(Raw_data[[#This Row],[Assignments_Completed]]))</f>
        <v>No</v>
      </c>
      <c r="S47">
        <f>Raw_data[[#This Row],[Days_Inactive]]</f>
        <v>0</v>
      </c>
      <c r="T47">
        <f>Studentdata[[#This Row],[Course price]]-Studentdata[[#This Row],[Amount paid]]</f>
        <v>0</v>
      </c>
    </row>
    <row r="48" spans="1:20" x14ac:dyDescent="0.3">
      <c r="A48">
        <v>47</v>
      </c>
      <c r="B48" t="str">
        <f>Raw_data[[#This Row],[Student_ID]]</f>
        <v>S1030</v>
      </c>
      <c r="C48" t="str">
        <f>TRIM(PROPER(Raw_data[[#This Row],[Student_Name]]))</f>
        <v>Ira Malhotra</v>
      </c>
      <c r="D48">
        <f>Raw_data[[#This Row],[Age]]</f>
        <v>31</v>
      </c>
      <c r="E48" t="str">
        <f>TRIM(PROPER(Raw_data[[#This Row],[Gender]]))</f>
        <v>Female</v>
      </c>
      <c r="F48" t="str">
        <f>TRIM(PROPER(Raw_data[[#This Row],[City]]))</f>
        <v>Delhi</v>
      </c>
      <c r="G48" t="str">
        <f>TRIM(PROPER(Raw_data[[#This Row],[Course_Name]]))</f>
        <v>Data Analytics Bootcamp</v>
      </c>
      <c r="H48" t="str">
        <f>TRIM(PROPER(Raw_data[[#This Row],[Course_Category]]))</f>
        <v>Analytics</v>
      </c>
      <c r="I48" s="1">
        <f>Raw_data[[#This Row],[Enrollment_Date]]</f>
        <v>45471</v>
      </c>
      <c r="J48" s="1">
        <f>Raw_data[[#This Row],[Last_Login_Date]]</f>
        <v>45499</v>
      </c>
      <c r="K48">
        <f>Raw_data[[#This Row],[Course_Price]]</f>
        <v>6000</v>
      </c>
      <c r="L48">
        <f>Raw_data[[#This Row],[Discount_Applied]]</f>
        <v>0</v>
      </c>
      <c r="M48">
        <f>Raw_data[[#This Row],[Amount_Paid]]</f>
        <v>6000</v>
      </c>
      <c r="N48" t="str">
        <f>TRIM(PROPER(Raw_data[[#This Row],[Completion_Status]]))</f>
        <v>Churned</v>
      </c>
      <c r="O48" t="str">
        <f>TRIM(PROPER(Raw_data[[#This Row],[Refund_Issued]]))</f>
        <v>Yes</v>
      </c>
      <c r="P48">
        <f>Raw_data[[#This Row],[Engagement_Score]]</f>
        <v>4</v>
      </c>
      <c r="Q48">
        <f>Raw_data[[#This Row],[Videos_Watched]]</f>
        <v>39</v>
      </c>
      <c r="R48" t="str">
        <f>TRIM(PROPER(Raw_data[[#This Row],[Assignments_Completed]]))</f>
        <v>No</v>
      </c>
      <c r="S48">
        <f>Raw_data[[#This Row],[Days_Inactive]]</f>
        <v>0</v>
      </c>
      <c r="T48">
        <f>Studentdata[[#This Row],[Course price]]-Studentdata[[#This Row],[Amount paid]]</f>
        <v>0</v>
      </c>
    </row>
    <row r="49" spans="1:20" x14ac:dyDescent="0.3">
      <c r="A49">
        <v>48</v>
      </c>
      <c r="B49" t="str">
        <f>Raw_data[[#This Row],[Student_ID]]</f>
        <v>S1009</v>
      </c>
      <c r="C49" t="str">
        <f>TRIM(PROPER(Raw_data[[#This Row],[Student_Name]]))</f>
        <v>Ishaan Khan</v>
      </c>
      <c r="D49">
        <f>Raw_data[[#This Row],[Age]]</f>
        <v>34</v>
      </c>
      <c r="E49" t="str">
        <f>TRIM(PROPER(Raw_data[[#This Row],[Gender]]))</f>
        <v>Male</v>
      </c>
      <c r="F49" t="str">
        <f>TRIM(PROPER(Raw_data[[#This Row],[City]]))</f>
        <v>Hyderabad</v>
      </c>
      <c r="G49" t="str">
        <f>TRIM(PROPER(Raw_data[[#This Row],[Course_Name]]))</f>
        <v>Power Bi Complete Guide</v>
      </c>
      <c r="H49" t="str">
        <f>TRIM(PROPER(Raw_data[[#This Row],[Course_Category]]))</f>
        <v>Analytics</v>
      </c>
      <c r="I49" s="1">
        <f>Raw_data[[#This Row],[Enrollment_Date]]</f>
        <v>45496</v>
      </c>
      <c r="J49" s="1">
        <f>Raw_data[[#This Row],[Last_Login_Date]]</f>
        <v>45581</v>
      </c>
      <c r="K49">
        <f>Raw_data[[#This Row],[Course_Price]]</f>
        <v>6000</v>
      </c>
      <c r="L49">
        <f>Raw_data[[#This Row],[Discount_Applied]]</f>
        <v>0</v>
      </c>
      <c r="M49">
        <f>Raw_data[[#This Row],[Amount_Paid]]</f>
        <v>6000</v>
      </c>
      <c r="N49" t="str">
        <f>TRIM(PROPER(Raw_data[[#This Row],[Completion_Status]]))</f>
        <v>Churned</v>
      </c>
      <c r="O49" t="str">
        <f>TRIM(PROPER(Raw_data[[#This Row],[Refund_Issued]]))</f>
        <v>Yes</v>
      </c>
      <c r="P49">
        <f>Raw_data[[#This Row],[Engagement_Score]]</f>
        <v>4</v>
      </c>
      <c r="Q49">
        <f>Raw_data[[#This Row],[Videos_Watched]]</f>
        <v>21</v>
      </c>
      <c r="R49" t="str">
        <f>TRIM(PROPER(Raw_data[[#This Row],[Assignments_Completed]]))</f>
        <v>Yes</v>
      </c>
      <c r="S49">
        <f>Raw_data[[#This Row],[Days_Inactive]]</f>
        <v>37</v>
      </c>
      <c r="T49">
        <f>Studentdata[[#This Row],[Course price]]-Studentdata[[#This Row],[Amount paid]]</f>
        <v>0</v>
      </c>
    </row>
    <row r="50" spans="1:20" x14ac:dyDescent="0.3">
      <c r="A50">
        <v>49</v>
      </c>
      <c r="B50" t="str">
        <f>Raw_data[[#This Row],[Student_ID]]</f>
        <v>S1060</v>
      </c>
      <c r="C50" t="str">
        <f>TRIM(PROPER(Raw_data[[#This Row],[Student_Name]]))</f>
        <v>Ishita Sharma</v>
      </c>
      <c r="D50">
        <f>Raw_data[[#This Row],[Age]]</f>
        <v>34</v>
      </c>
      <c r="E50" t="str">
        <f>TRIM(PROPER(Raw_data[[#This Row],[Gender]]))</f>
        <v>Female</v>
      </c>
      <c r="F50" t="str">
        <f>TRIM(PROPER(Raw_data[[#This Row],[City]]))</f>
        <v>Jaipur</v>
      </c>
      <c r="G50" t="str">
        <f>TRIM(PROPER(Raw_data[[#This Row],[Course_Name]]))</f>
        <v>Digital Marketing Pro</v>
      </c>
      <c r="H50" t="str">
        <f>TRIM(PROPER(Raw_data[[#This Row],[Course_Category]]))</f>
        <v>Marketing</v>
      </c>
      <c r="I50" s="1">
        <f>Raw_data[[#This Row],[Enrollment_Date]]</f>
        <v>45621</v>
      </c>
      <c r="J50" s="1">
        <f>Raw_data[[#This Row],[Last_Login_Date]]</f>
        <v>44986</v>
      </c>
      <c r="K50">
        <f>Raw_data[[#This Row],[Course_Price]]</f>
        <v>6000</v>
      </c>
      <c r="L50">
        <f>Raw_data[[#This Row],[Discount_Applied]]</f>
        <v>500</v>
      </c>
      <c r="M50">
        <f>Raw_data[[#This Row],[Amount_Paid]]</f>
        <v>5500</v>
      </c>
      <c r="N50" t="str">
        <f>TRIM(PROPER(Raw_data[[#This Row],[Completion_Status]]))</f>
        <v>Churned</v>
      </c>
      <c r="O50" t="str">
        <f>TRIM(PROPER(Raw_data[[#This Row],[Refund_Issued]]))</f>
        <v>No</v>
      </c>
      <c r="P50">
        <f>Raw_data[[#This Row],[Engagement_Score]]</f>
        <v>8</v>
      </c>
      <c r="Q50">
        <f>Raw_data[[#This Row],[Videos_Watched]]</f>
        <v>28</v>
      </c>
      <c r="R50" t="str">
        <f>TRIM(PROPER(Raw_data[[#This Row],[Assignments_Completed]]))</f>
        <v>Yes</v>
      </c>
      <c r="S50">
        <f>Raw_data[[#This Row],[Days_Inactive]]</f>
        <v>0</v>
      </c>
      <c r="T50">
        <f>Studentdata[[#This Row],[Course price]]-Studentdata[[#This Row],[Amount paid]]</f>
        <v>500</v>
      </c>
    </row>
    <row r="51" spans="1:20" x14ac:dyDescent="0.3">
      <c r="A51">
        <v>50</v>
      </c>
      <c r="B51" t="str">
        <f>Raw_data[[#This Row],[Student_ID]]</f>
        <v>S1141</v>
      </c>
      <c r="C51" t="str">
        <f>TRIM(PROPER(Raw_data[[#This Row],[Student_Name]]))</f>
        <v>Joseph Dsouza</v>
      </c>
      <c r="D51">
        <f>Raw_data[[#This Row],[Age]]</f>
        <v>31</v>
      </c>
      <c r="E51" t="str">
        <f>TRIM(PROPER(Raw_data[[#This Row],[Gender]]))</f>
        <v>Male</v>
      </c>
      <c r="F51" t="str">
        <f>TRIM(PROPER(Raw_data[[#This Row],[City]]))</f>
        <v>Hyderabad</v>
      </c>
      <c r="G51" t="str">
        <f>TRIM(PROPER(Raw_data[[#This Row],[Course_Name]]))</f>
        <v>Python For Data Science</v>
      </c>
      <c r="H51" t="str">
        <f>TRIM(PROPER(Raw_data[[#This Row],[Course_Category]]))</f>
        <v>Programming</v>
      </c>
      <c r="I51" s="1">
        <f>Raw_data[[#This Row],[Enrollment_Date]]</f>
        <v>45564</v>
      </c>
      <c r="J51" s="1">
        <f>Raw_data[[#This Row],[Last_Login_Date]]</f>
        <v>45599</v>
      </c>
      <c r="K51">
        <f>Raw_data[[#This Row],[Course_Price]]</f>
        <v>5000</v>
      </c>
      <c r="L51">
        <f>Raw_data[[#This Row],[Discount_Applied]]</f>
        <v>1000</v>
      </c>
      <c r="M51">
        <f>Raw_data[[#This Row],[Amount_Paid]]</f>
        <v>4000</v>
      </c>
      <c r="N51" t="str">
        <f>TRIM(PROPER(Raw_data[[#This Row],[Completion_Status]]))</f>
        <v>Completed</v>
      </c>
      <c r="O51" t="str">
        <f>TRIM(PROPER(Raw_data[[#This Row],[Refund_Issued]]))</f>
        <v>Yes</v>
      </c>
      <c r="P51">
        <f>Raw_data[[#This Row],[Engagement_Score]]</f>
        <v>9</v>
      </c>
      <c r="Q51">
        <f>Raw_data[[#This Row],[Videos_Watched]]</f>
        <v>6</v>
      </c>
      <c r="R51" t="str">
        <f>TRIM(PROPER(Raw_data[[#This Row],[Assignments_Completed]]))</f>
        <v>No</v>
      </c>
      <c r="S51">
        <f>Raw_data[[#This Row],[Days_Inactive]]</f>
        <v>48</v>
      </c>
      <c r="T51">
        <f>Studentdata[[#This Row],[Course price]]-Studentdata[[#This Row],[Amount paid]]</f>
        <v>1000</v>
      </c>
    </row>
    <row r="52" spans="1:20" x14ac:dyDescent="0.3">
      <c r="A52">
        <v>51</v>
      </c>
      <c r="B52" t="str">
        <f>Raw_data[[#This Row],[Student_ID]]</f>
        <v>S1076</v>
      </c>
      <c r="C52" t="str">
        <f>TRIM(PROPER(Raw_data[[#This Row],[Student_Name]]))</f>
        <v>Jyoti Patel</v>
      </c>
      <c r="D52">
        <f>Raw_data[[#This Row],[Age]]</f>
        <v>22</v>
      </c>
      <c r="E52" t="str">
        <f>TRIM(PROPER(Raw_data[[#This Row],[Gender]]))</f>
        <v>Female</v>
      </c>
      <c r="F52" t="str">
        <f>TRIM(PROPER(Raw_data[[#This Row],[City]]))</f>
        <v>Bangalore</v>
      </c>
      <c r="G52" t="str">
        <f>TRIM(PROPER(Raw_data[[#This Row],[Course_Name]]))</f>
        <v>Advanced Excel</v>
      </c>
      <c r="H52" t="str">
        <f>TRIM(PROPER(Raw_data[[#This Row],[Course_Category]]))</f>
        <v>Productivity</v>
      </c>
      <c r="I52" s="1">
        <f>Raw_data[[#This Row],[Enrollment_Date]]</f>
        <v>45516</v>
      </c>
      <c r="J52" s="1">
        <f>Raw_data[[#This Row],[Last_Login_Date]]</f>
        <v>45521</v>
      </c>
      <c r="K52">
        <f>Raw_data[[#This Row],[Course_Price]]</f>
        <v>5000</v>
      </c>
      <c r="L52">
        <f>Raw_data[[#This Row],[Discount_Applied]]</f>
        <v>500</v>
      </c>
      <c r="M52">
        <f>Raw_data[[#This Row],[Amount_Paid]]</f>
        <v>4500</v>
      </c>
      <c r="N52" t="str">
        <f>TRIM(PROPER(Raw_data[[#This Row],[Completion_Status]]))</f>
        <v>Churned</v>
      </c>
      <c r="O52" t="str">
        <f>TRIM(PROPER(Raw_data[[#This Row],[Refund_Issued]]))</f>
        <v>Yes</v>
      </c>
      <c r="P52">
        <f>Raw_data[[#This Row],[Engagement_Score]]</f>
        <v>5</v>
      </c>
      <c r="Q52">
        <f>Raw_data[[#This Row],[Videos_Watched]]</f>
        <v>34</v>
      </c>
      <c r="R52" t="str">
        <f>TRIM(PROPER(Raw_data[[#This Row],[Assignments_Completed]]))</f>
        <v>No</v>
      </c>
      <c r="S52">
        <f>Raw_data[[#This Row],[Days_Inactive]]</f>
        <v>19</v>
      </c>
      <c r="T52">
        <f>Studentdata[[#This Row],[Course price]]-Studentdata[[#This Row],[Amount paid]]</f>
        <v>500</v>
      </c>
    </row>
    <row r="53" spans="1:20" x14ac:dyDescent="0.3">
      <c r="A53">
        <v>52</v>
      </c>
      <c r="B53" t="str">
        <f>Raw_data[[#This Row],[Student_ID]]</f>
        <v>S1013</v>
      </c>
      <c r="C53" t="str">
        <f>TRIM(PROPER(Raw_data[[#This Row],[Student_Name]]))</f>
        <v>Kabir Mehta</v>
      </c>
      <c r="D53">
        <f>Raw_data[[#This Row],[Age]]</f>
        <v>32</v>
      </c>
      <c r="E53" t="str">
        <f>TRIM(PROPER(Raw_data[[#This Row],[Gender]]))</f>
        <v>Male</v>
      </c>
      <c r="F53" t="str">
        <f>TRIM(PROPER(Raw_data[[#This Row],[City]]))</f>
        <v>Jaipur</v>
      </c>
      <c r="G53" t="str">
        <f>TRIM(PROPER(Raw_data[[#This Row],[Course_Name]]))</f>
        <v>Digital Marketing Pro</v>
      </c>
      <c r="H53" t="str">
        <f>TRIM(PROPER(Raw_data[[#This Row],[Course_Category]]))</f>
        <v>Marketing</v>
      </c>
      <c r="I53" s="1">
        <f>Raw_data[[#This Row],[Enrollment_Date]]</f>
        <v>45371</v>
      </c>
      <c r="J53" s="1">
        <f>Raw_data[[#This Row],[Last_Login_Date]]</f>
        <v>45395</v>
      </c>
      <c r="K53">
        <f>Raw_data[[#This Row],[Course_Price]]</f>
        <v>3000</v>
      </c>
      <c r="L53">
        <f>Raw_data[[#This Row],[Discount_Applied]]</f>
        <v>0</v>
      </c>
      <c r="M53">
        <f>Raw_data[[#This Row],[Amount_Paid]]</f>
        <v>3000</v>
      </c>
      <c r="N53" t="str">
        <f>TRIM(PROPER(Raw_data[[#This Row],[Completion_Status]]))</f>
        <v>Churned</v>
      </c>
      <c r="O53" t="str">
        <f>TRIM(PROPER(Raw_data[[#This Row],[Refund_Issued]]))</f>
        <v>Yes</v>
      </c>
      <c r="P53">
        <f>Raw_data[[#This Row],[Engagement_Score]]</f>
        <v>1</v>
      </c>
      <c r="Q53">
        <f>Raw_data[[#This Row],[Videos_Watched]]</f>
        <v>3</v>
      </c>
      <c r="R53" t="str">
        <f>TRIM(PROPER(Raw_data[[#This Row],[Assignments_Completed]]))</f>
        <v>No</v>
      </c>
      <c r="S53">
        <f>Raw_data[[#This Row],[Days_Inactive]]</f>
        <v>64</v>
      </c>
      <c r="T53">
        <f>Studentdata[[#This Row],[Course price]]-Studentdata[[#This Row],[Amount paid]]</f>
        <v>0</v>
      </c>
    </row>
    <row r="54" spans="1:20" x14ac:dyDescent="0.3">
      <c r="A54">
        <v>53</v>
      </c>
      <c r="B54" t="str">
        <f>Raw_data[[#This Row],[Student_ID]]</f>
        <v>S1109</v>
      </c>
      <c r="C54" t="str">
        <f>TRIM(PROPER(Raw_data[[#This Row],[Student_Name]]))</f>
        <v>Kapil Agarwal</v>
      </c>
      <c r="D54">
        <f>Raw_data[[#This Row],[Age]]</f>
        <v>35</v>
      </c>
      <c r="E54" t="str">
        <f>TRIM(PROPER(Raw_data[[#This Row],[Gender]]))</f>
        <v>Male</v>
      </c>
      <c r="F54" t="str">
        <f>TRIM(PROPER(Raw_data[[#This Row],[City]]))</f>
        <v>Jaipur</v>
      </c>
      <c r="G54" t="str">
        <f>TRIM(PROPER(Raw_data[[#This Row],[Course_Name]]))</f>
        <v>Excel For Beginners</v>
      </c>
      <c r="H54" t="str">
        <f>TRIM(PROPER(Raw_data[[#This Row],[Course_Category]]))</f>
        <v>Productivity</v>
      </c>
      <c r="I54" s="1">
        <f>Raw_data[[#This Row],[Enrollment_Date]]</f>
        <v>45640</v>
      </c>
      <c r="J54" s="1">
        <f>Raw_data[[#This Row],[Last_Login_Date]]</f>
        <v>44986</v>
      </c>
      <c r="K54">
        <f>Raw_data[[#This Row],[Course_Price]]</f>
        <v>3000</v>
      </c>
      <c r="L54">
        <f>Raw_data[[#This Row],[Discount_Applied]]</f>
        <v>0</v>
      </c>
      <c r="M54">
        <f>Raw_data[[#This Row],[Amount_Paid]]</f>
        <v>3000</v>
      </c>
      <c r="N54" t="str">
        <f>TRIM(PROPER(Raw_data[[#This Row],[Completion_Status]]))</f>
        <v>Churned</v>
      </c>
      <c r="O54" t="str">
        <f>TRIM(PROPER(Raw_data[[#This Row],[Refund_Issued]]))</f>
        <v>Yes</v>
      </c>
      <c r="P54">
        <f>Raw_data[[#This Row],[Engagement_Score]]</f>
        <v>3</v>
      </c>
      <c r="Q54">
        <f>Raw_data[[#This Row],[Videos_Watched]]</f>
        <v>26</v>
      </c>
      <c r="R54" t="str">
        <f>TRIM(PROPER(Raw_data[[#This Row],[Assignments_Completed]]))</f>
        <v>No</v>
      </c>
      <c r="S54">
        <f>Raw_data[[#This Row],[Days_Inactive]]</f>
        <v>7</v>
      </c>
      <c r="T54">
        <f>Studentdata[[#This Row],[Course price]]-Studentdata[[#This Row],[Amount paid]]</f>
        <v>0</v>
      </c>
    </row>
    <row r="55" spans="1:20" x14ac:dyDescent="0.3">
      <c r="A55">
        <v>54</v>
      </c>
      <c r="B55" t="str">
        <f>Raw_data[[#This Row],[Student_ID]]</f>
        <v>S1085</v>
      </c>
      <c r="C55" t="str">
        <f>TRIM(PROPER(Raw_data[[#This Row],[Student_Name]]))</f>
        <v>Kartik Verma</v>
      </c>
      <c r="D55">
        <f>Raw_data[[#This Row],[Age]]</f>
        <v>28</v>
      </c>
      <c r="E55" t="str">
        <f>TRIM(PROPER(Raw_data[[#This Row],[Gender]]))</f>
        <v>Male</v>
      </c>
      <c r="F55" t="str">
        <f>TRIM(PROPER(Raw_data[[#This Row],[City]]))</f>
        <v>Ahmedabad</v>
      </c>
      <c r="G55" t="str">
        <f>TRIM(PROPER(Raw_data[[#This Row],[Course_Name]]))</f>
        <v>Business Analysis Fundamentals</v>
      </c>
      <c r="H55" t="str">
        <f>TRIM(PROPER(Raw_data[[#This Row],[Course_Category]]))</f>
        <v>Analytics</v>
      </c>
      <c r="I55" s="1">
        <f>Raw_data[[#This Row],[Enrollment_Date]]</f>
        <v>45377</v>
      </c>
      <c r="J55" s="1">
        <f>Raw_data[[#This Row],[Last_Login_Date]]</f>
        <v>45465</v>
      </c>
      <c r="K55">
        <f>Raw_data[[#This Row],[Course_Price]]</f>
        <v>6000</v>
      </c>
      <c r="L55">
        <f>Raw_data[[#This Row],[Discount_Applied]]</f>
        <v>0</v>
      </c>
      <c r="M55">
        <f>Raw_data[[#This Row],[Amount_Paid]]</f>
        <v>6000</v>
      </c>
      <c r="N55" t="str">
        <f>TRIM(PROPER(Raw_data[[#This Row],[Completion_Status]]))</f>
        <v>Churned</v>
      </c>
      <c r="O55" t="str">
        <f>TRIM(PROPER(Raw_data[[#This Row],[Refund_Issued]]))</f>
        <v>Yes</v>
      </c>
      <c r="P55">
        <f>Raw_data[[#This Row],[Engagement_Score]]</f>
        <v>0</v>
      </c>
      <c r="Q55">
        <f>Raw_data[[#This Row],[Videos_Watched]]</f>
        <v>40</v>
      </c>
      <c r="R55" t="str">
        <f>TRIM(PROPER(Raw_data[[#This Row],[Assignments_Completed]]))</f>
        <v>Yes</v>
      </c>
      <c r="S55">
        <f>Raw_data[[#This Row],[Days_Inactive]]</f>
        <v>85</v>
      </c>
      <c r="T55">
        <f>Studentdata[[#This Row],[Course price]]-Studentdata[[#This Row],[Amount paid]]</f>
        <v>0</v>
      </c>
    </row>
    <row r="56" spans="1:20" x14ac:dyDescent="0.3">
      <c r="A56">
        <v>55</v>
      </c>
      <c r="B56" t="str">
        <f>Raw_data[[#This Row],[Student_ID]]</f>
        <v>S1033</v>
      </c>
      <c r="C56" t="str">
        <f>TRIM(PROPER(Raw_data[[#This Row],[Student_Name]]))</f>
        <v>Kavya Nair</v>
      </c>
      <c r="D56">
        <f>Raw_data[[#This Row],[Age]]</f>
        <v>26</v>
      </c>
      <c r="E56" t="str">
        <f>TRIM(PROPER(Raw_data[[#This Row],[Gender]]))</f>
        <v>Female</v>
      </c>
      <c r="F56" t="str">
        <f>TRIM(PROPER(Raw_data[[#This Row],[City]]))</f>
        <v>Kolkata</v>
      </c>
      <c r="G56" t="str">
        <f>TRIM(PROPER(Raw_data[[#This Row],[Course_Name]]))</f>
        <v>Power Bi Complete Guide</v>
      </c>
      <c r="H56" t="str">
        <f>TRIM(PROPER(Raw_data[[#This Row],[Course_Category]]))</f>
        <v>Analytics</v>
      </c>
      <c r="I56" s="1">
        <f>Raw_data[[#This Row],[Enrollment_Date]]</f>
        <v>45457</v>
      </c>
      <c r="J56" s="1">
        <f>Raw_data[[#This Row],[Last_Login_Date]]</f>
        <v>45301</v>
      </c>
      <c r="K56">
        <f>Raw_data[[#This Row],[Course_Price]]</f>
        <v>5000</v>
      </c>
      <c r="L56">
        <f>Raw_data[[#This Row],[Discount_Applied]]</f>
        <v>500</v>
      </c>
      <c r="M56">
        <f>Raw_data[[#This Row],[Amount_Paid]]</f>
        <v>4500</v>
      </c>
      <c r="N56" t="str">
        <f>TRIM(PROPER(Raw_data[[#This Row],[Completion_Status]]))</f>
        <v>Completed</v>
      </c>
      <c r="O56" t="str">
        <f>TRIM(PROPER(Raw_data[[#This Row],[Refund_Issued]]))</f>
        <v>No</v>
      </c>
      <c r="P56">
        <f>Raw_data[[#This Row],[Engagement_Score]]</f>
        <v>10</v>
      </c>
      <c r="Q56">
        <f>Raw_data[[#This Row],[Videos_Watched]]</f>
        <v>24</v>
      </c>
      <c r="R56" t="str">
        <f>TRIM(PROPER(Raw_data[[#This Row],[Assignments_Completed]]))</f>
        <v>Yes</v>
      </c>
      <c r="S56">
        <f>Raw_data[[#This Row],[Days_Inactive]]</f>
        <v>0</v>
      </c>
      <c r="T56">
        <f>Studentdata[[#This Row],[Course price]]-Studentdata[[#This Row],[Amount paid]]</f>
        <v>500</v>
      </c>
    </row>
    <row r="57" spans="1:20" x14ac:dyDescent="0.3">
      <c r="A57">
        <v>56</v>
      </c>
      <c r="B57" t="str">
        <f>Raw_data[[#This Row],[Student_ID]]</f>
        <v>S1142</v>
      </c>
      <c r="C57" t="str">
        <f>TRIM(PROPER(Raw_data[[#This Row],[Student_Name]]))</f>
        <v>Kevin Dsouza</v>
      </c>
      <c r="D57">
        <f>Raw_data[[#This Row],[Age]]</f>
        <v>22</v>
      </c>
      <c r="E57" t="str">
        <f>TRIM(PROPER(Raw_data[[#This Row],[Gender]]))</f>
        <v>Male</v>
      </c>
      <c r="F57" t="str">
        <f>TRIM(PROPER(Raw_data[[#This Row],[City]]))</f>
        <v>Pune</v>
      </c>
      <c r="G57" t="str">
        <f>TRIM(PROPER(Raw_data[[#This Row],[Course_Name]]))</f>
        <v>Business Analysis Fundamentals</v>
      </c>
      <c r="H57" t="str">
        <f>TRIM(PROPER(Raw_data[[#This Row],[Course_Category]]))</f>
        <v>Analytics</v>
      </c>
      <c r="I57" s="1">
        <f>Raw_data[[#This Row],[Enrollment_Date]]</f>
        <v>45542</v>
      </c>
      <c r="J57" s="1">
        <f>Raw_data[[#This Row],[Last_Login_Date]]</f>
        <v>45560</v>
      </c>
      <c r="K57">
        <f>Raw_data[[#This Row],[Course_Price]]</f>
        <v>5000</v>
      </c>
      <c r="L57">
        <f>Raw_data[[#This Row],[Discount_Applied]]</f>
        <v>500</v>
      </c>
      <c r="M57">
        <f>Raw_data[[#This Row],[Amount_Paid]]</f>
        <v>4500</v>
      </c>
      <c r="N57" t="str">
        <f>TRIM(PROPER(Raw_data[[#This Row],[Completion_Status]]))</f>
        <v>Churned</v>
      </c>
      <c r="O57" t="str">
        <f>TRIM(PROPER(Raw_data[[#This Row],[Refund_Issued]]))</f>
        <v>No</v>
      </c>
      <c r="P57">
        <f>Raw_data[[#This Row],[Engagement_Score]]</f>
        <v>0</v>
      </c>
      <c r="Q57">
        <f>Raw_data[[#This Row],[Videos_Watched]]</f>
        <v>32</v>
      </c>
      <c r="R57" t="str">
        <f>TRIM(PROPER(Raw_data[[#This Row],[Assignments_Completed]]))</f>
        <v>Yes</v>
      </c>
      <c r="S57">
        <f>Raw_data[[#This Row],[Days_Inactive]]</f>
        <v>0</v>
      </c>
      <c r="T57">
        <f>Studentdata[[#This Row],[Course price]]-Studentdata[[#This Row],[Amount paid]]</f>
        <v>500</v>
      </c>
    </row>
    <row r="58" spans="1:20" x14ac:dyDescent="0.3">
      <c r="A58">
        <v>57</v>
      </c>
      <c r="B58" t="str">
        <f>Raw_data[[#This Row],[Student_ID]]</f>
        <v>S1072</v>
      </c>
      <c r="C58" t="str">
        <f>TRIM(PROPER(Raw_data[[#This Row],[Student_Name]]))</f>
        <v>Khushi Singh</v>
      </c>
      <c r="D58">
        <f>Raw_data[[#This Row],[Age]]</f>
        <v>32</v>
      </c>
      <c r="E58" t="str">
        <f>TRIM(PROPER(Raw_data[[#This Row],[Gender]]))</f>
        <v>Female</v>
      </c>
      <c r="F58" t="str">
        <f>TRIM(PROPER(Raw_data[[#This Row],[City]]))</f>
        <v>Chandigarh</v>
      </c>
      <c r="G58" t="str">
        <f>TRIM(PROPER(Raw_data[[#This Row],[Course_Name]]))</f>
        <v>Sql Mastery</v>
      </c>
      <c r="H58" t="str">
        <f>TRIM(PROPER(Raw_data[[#This Row],[Course_Category]]))</f>
        <v>Analytics</v>
      </c>
      <c r="I58" s="1">
        <f>Raw_data[[#This Row],[Enrollment_Date]]</f>
        <v>45456</v>
      </c>
      <c r="J58" s="1">
        <f>Raw_data[[#This Row],[Last_Login_Date]]</f>
        <v>45533</v>
      </c>
      <c r="K58">
        <f>Raw_data[[#This Row],[Course_Price]]</f>
        <v>3000</v>
      </c>
      <c r="L58">
        <f>Raw_data[[#This Row],[Discount_Applied]]</f>
        <v>500</v>
      </c>
      <c r="M58">
        <f>Raw_data[[#This Row],[Amount_Paid]]</f>
        <v>2500</v>
      </c>
      <c r="N58" t="str">
        <f>TRIM(PROPER(Raw_data[[#This Row],[Completion_Status]]))</f>
        <v>Completed</v>
      </c>
      <c r="O58" t="str">
        <f>TRIM(PROPER(Raw_data[[#This Row],[Refund_Issued]]))</f>
        <v>Yes</v>
      </c>
      <c r="P58">
        <f>Raw_data[[#This Row],[Engagement_Score]]</f>
        <v>9</v>
      </c>
      <c r="Q58">
        <f>Raw_data[[#This Row],[Videos_Watched]]</f>
        <v>11</v>
      </c>
      <c r="R58" t="str">
        <f>TRIM(PROPER(Raw_data[[#This Row],[Assignments_Completed]]))</f>
        <v>Yes</v>
      </c>
      <c r="S58">
        <f>Raw_data[[#This Row],[Days_Inactive]]</f>
        <v>0</v>
      </c>
      <c r="T58">
        <f>Studentdata[[#This Row],[Course price]]-Studentdata[[#This Row],[Amount paid]]</f>
        <v>500</v>
      </c>
    </row>
    <row r="59" spans="1:20" x14ac:dyDescent="0.3">
      <c r="A59">
        <v>58</v>
      </c>
      <c r="B59" t="str">
        <f>Raw_data[[#This Row],[Student_ID]]</f>
        <v>S1098</v>
      </c>
      <c r="C59" t="str">
        <f>TRIM(PROPER(Raw_data[[#This Row],[Student_Name]]))</f>
        <v>Kiran Jain</v>
      </c>
      <c r="D59">
        <f>Raw_data[[#This Row],[Age]]</f>
        <v>28</v>
      </c>
      <c r="E59" t="str">
        <f>TRIM(PROPER(Raw_data[[#This Row],[Gender]]))</f>
        <v>Female</v>
      </c>
      <c r="F59" t="str">
        <f>TRIM(PROPER(Raw_data[[#This Row],[City]]))</f>
        <v>Chandigarh</v>
      </c>
      <c r="G59" t="str">
        <f>TRIM(PROPER(Raw_data[[#This Row],[Course_Name]]))</f>
        <v>Power Bi Complete Guide</v>
      </c>
      <c r="H59" t="str">
        <f>TRIM(PROPER(Raw_data[[#This Row],[Course_Category]]))</f>
        <v>Analytics</v>
      </c>
      <c r="I59" s="1">
        <f>Raw_data[[#This Row],[Enrollment_Date]]</f>
        <v>45595</v>
      </c>
      <c r="J59" s="1">
        <f>Raw_data[[#This Row],[Last_Login_Date]]</f>
        <v>44986</v>
      </c>
      <c r="K59">
        <f>Raw_data[[#This Row],[Course_Price]]</f>
        <v>5000</v>
      </c>
      <c r="L59">
        <f>Raw_data[[#This Row],[Discount_Applied]]</f>
        <v>0</v>
      </c>
      <c r="M59">
        <f>Raw_data[[#This Row],[Amount_Paid]]</f>
        <v>5000</v>
      </c>
      <c r="N59" t="str">
        <f>TRIM(PROPER(Raw_data[[#This Row],[Completion_Status]]))</f>
        <v>Completed</v>
      </c>
      <c r="O59" t="str">
        <f>TRIM(PROPER(Raw_data[[#This Row],[Refund_Issued]]))</f>
        <v>No</v>
      </c>
      <c r="P59">
        <f>Raw_data[[#This Row],[Engagement_Score]]</f>
        <v>0</v>
      </c>
      <c r="Q59">
        <f>Raw_data[[#This Row],[Videos_Watched]]</f>
        <v>43</v>
      </c>
      <c r="R59" t="str">
        <f>TRIM(PROPER(Raw_data[[#This Row],[Assignments_Completed]]))</f>
        <v>Yes</v>
      </c>
      <c r="S59">
        <f>Raw_data[[#This Row],[Days_Inactive]]</f>
        <v>0</v>
      </c>
      <c r="T59">
        <f>Studentdata[[#This Row],[Course price]]-Studentdata[[#This Row],[Amount paid]]</f>
        <v>0</v>
      </c>
    </row>
    <row r="60" spans="1:20" x14ac:dyDescent="0.3">
      <c r="A60">
        <v>59</v>
      </c>
      <c r="B60" t="str">
        <f>Raw_data[[#This Row],[Student_ID]]</f>
        <v>S1053</v>
      </c>
      <c r="C60" t="str">
        <f>TRIM(PROPER(Raw_data[[#This Row],[Student_Name]]))</f>
        <v>Komal Gupta</v>
      </c>
      <c r="D60">
        <f>Raw_data[[#This Row],[Age]]</f>
        <v>27</v>
      </c>
      <c r="E60" t="str">
        <f>TRIM(PROPER(Raw_data[[#This Row],[Gender]]))</f>
        <v>Female</v>
      </c>
      <c r="F60" t="str">
        <f>TRIM(PROPER(Raw_data[[#This Row],[City]]))</f>
        <v>Pune</v>
      </c>
      <c r="G60" t="str">
        <f>TRIM(PROPER(Raw_data[[#This Row],[Course_Name]]))</f>
        <v>Advanced Excel</v>
      </c>
      <c r="H60" t="str">
        <f>TRIM(PROPER(Raw_data[[#This Row],[Course_Category]]))</f>
        <v>Productivity</v>
      </c>
      <c r="I60" s="1">
        <f>Raw_data[[#This Row],[Enrollment_Date]]</f>
        <v>45338</v>
      </c>
      <c r="J60" s="1">
        <f>Raw_data[[#This Row],[Last_Login_Date]]</f>
        <v>45454</v>
      </c>
      <c r="K60">
        <f>Raw_data[[#This Row],[Course_Price]]</f>
        <v>5000</v>
      </c>
      <c r="L60">
        <f>Raw_data[[#This Row],[Discount_Applied]]</f>
        <v>500</v>
      </c>
      <c r="M60">
        <f>Raw_data[[#This Row],[Amount_Paid]]</f>
        <v>4500</v>
      </c>
      <c r="N60" t="str">
        <f>TRIM(PROPER(Raw_data[[#This Row],[Completion_Status]]))</f>
        <v>Completed</v>
      </c>
      <c r="O60" t="str">
        <f>TRIM(PROPER(Raw_data[[#This Row],[Refund_Issued]]))</f>
        <v>No</v>
      </c>
      <c r="P60">
        <f>Raw_data[[#This Row],[Engagement_Score]]</f>
        <v>0</v>
      </c>
      <c r="Q60">
        <f>Raw_data[[#This Row],[Videos_Watched]]</f>
        <v>33</v>
      </c>
      <c r="R60" t="str">
        <f>TRIM(PROPER(Raw_data[[#This Row],[Assignments_Completed]]))</f>
        <v>No</v>
      </c>
      <c r="S60">
        <f>Raw_data[[#This Row],[Days_Inactive]]</f>
        <v>58</v>
      </c>
      <c r="T60">
        <f>Studentdata[[#This Row],[Course price]]-Studentdata[[#This Row],[Amount paid]]</f>
        <v>500</v>
      </c>
    </row>
    <row r="61" spans="1:20" x14ac:dyDescent="0.3">
      <c r="A61">
        <v>60</v>
      </c>
      <c r="B61" t="str">
        <f>Raw_data[[#This Row],[Student_ID]]</f>
        <v>S1008</v>
      </c>
      <c r="C61" t="str">
        <f>TRIM(PROPER(Raw_data[[#This Row],[Student_Name]]))</f>
        <v>Krishna Yadav</v>
      </c>
      <c r="D61">
        <f>Raw_data[[#This Row],[Age]]</f>
        <v>28</v>
      </c>
      <c r="E61" t="str">
        <f>TRIM(PROPER(Raw_data[[#This Row],[Gender]]))</f>
        <v>Male</v>
      </c>
      <c r="F61" t="str">
        <f>TRIM(PROPER(Raw_data[[#This Row],[City]]))</f>
        <v>Mumbai</v>
      </c>
      <c r="G61" t="str">
        <f>TRIM(PROPER(Raw_data[[#This Row],[Course_Name]]))</f>
        <v>Power Bi Complete Guide</v>
      </c>
      <c r="H61" t="str">
        <f>TRIM(PROPER(Raw_data[[#This Row],[Course_Category]]))</f>
        <v>Analytics</v>
      </c>
      <c r="I61" s="1">
        <f>Raw_data[[#This Row],[Enrollment_Date]]</f>
        <v>45327</v>
      </c>
      <c r="J61" s="1">
        <f>Raw_data[[#This Row],[Last_Login_Date]]</f>
        <v>45540</v>
      </c>
      <c r="K61">
        <f>Raw_data[[#This Row],[Course_Price]]</f>
        <v>3000</v>
      </c>
      <c r="L61">
        <f>Raw_data[[#This Row],[Discount_Applied]]</f>
        <v>500</v>
      </c>
      <c r="M61">
        <f>Raw_data[[#This Row],[Amount_Paid]]</f>
        <v>2500</v>
      </c>
      <c r="N61" t="str">
        <f>TRIM(PROPER(Raw_data[[#This Row],[Completion_Status]]))</f>
        <v>Churned</v>
      </c>
      <c r="O61" t="str">
        <f>TRIM(PROPER(Raw_data[[#This Row],[Refund_Issued]]))</f>
        <v>Yes</v>
      </c>
      <c r="P61">
        <f>Raw_data[[#This Row],[Engagement_Score]]</f>
        <v>9</v>
      </c>
      <c r="Q61">
        <f>Raw_data[[#This Row],[Videos_Watched]]</f>
        <v>42</v>
      </c>
      <c r="R61" t="str">
        <f>TRIM(PROPER(Raw_data[[#This Row],[Assignments_Completed]]))</f>
        <v>No</v>
      </c>
      <c r="S61">
        <f>Raw_data[[#This Row],[Days_Inactive]]</f>
        <v>60</v>
      </c>
      <c r="T61">
        <f>Studentdata[[#This Row],[Course price]]-Studentdata[[#This Row],[Amount paid]]</f>
        <v>500</v>
      </c>
    </row>
    <row r="62" spans="1:20" x14ac:dyDescent="0.3">
      <c r="A62">
        <v>61</v>
      </c>
      <c r="B62" t="str">
        <f>Raw_data[[#This Row],[Student_ID]]</f>
        <v>S1017</v>
      </c>
      <c r="C62" t="str">
        <f>TRIM(PROPER(Raw_data[[#This Row],[Student_Name]]))</f>
        <v>Kunal Malhotra</v>
      </c>
      <c r="D62">
        <f>Raw_data[[#This Row],[Age]]</f>
        <v>26</v>
      </c>
      <c r="E62" t="str">
        <f>TRIM(PROPER(Raw_data[[#This Row],[Gender]]))</f>
        <v>Male</v>
      </c>
      <c r="F62" t="str">
        <f>TRIM(PROPER(Raw_data[[#This Row],[City]]))</f>
        <v>Hyderabad</v>
      </c>
      <c r="G62" t="str">
        <f>TRIM(PROPER(Raw_data[[#This Row],[Course_Name]]))</f>
        <v>Python For Data Science</v>
      </c>
      <c r="H62" t="str">
        <f>TRIM(PROPER(Raw_data[[#This Row],[Course_Category]]))</f>
        <v>Programming</v>
      </c>
      <c r="I62" s="1">
        <f>Raw_data[[#This Row],[Enrollment_Date]]</f>
        <v>45396</v>
      </c>
      <c r="J62" s="1">
        <f>Raw_data[[#This Row],[Last_Login_Date]]</f>
        <v>45483</v>
      </c>
      <c r="K62">
        <f>Raw_data[[#This Row],[Course_Price]]</f>
        <v>7000</v>
      </c>
      <c r="L62">
        <f>Raw_data[[#This Row],[Discount_Applied]]</f>
        <v>500</v>
      </c>
      <c r="M62">
        <f>Raw_data[[#This Row],[Amount_Paid]]</f>
        <v>6500</v>
      </c>
      <c r="N62" t="str">
        <f>TRIM(PROPER(Raw_data[[#This Row],[Completion_Status]]))</f>
        <v>Completed</v>
      </c>
      <c r="O62" t="str">
        <f>TRIM(PROPER(Raw_data[[#This Row],[Refund_Issued]]))</f>
        <v>Yes</v>
      </c>
      <c r="P62">
        <f>Raw_data[[#This Row],[Engagement_Score]]</f>
        <v>0</v>
      </c>
      <c r="Q62">
        <f>Raw_data[[#This Row],[Videos_Watched]]</f>
        <v>2</v>
      </c>
      <c r="R62" t="str">
        <f>TRIM(PROPER(Raw_data[[#This Row],[Assignments_Completed]]))</f>
        <v>Yes</v>
      </c>
      <c r="S62">
        <f>Raw_data[[#This Row],[Days_Inactive]]</f>
        <v>16</v>
      </c>
      <c r="T62">
        <f>Studentdata[[#This Row],[Course price]]-Studentdata[[#This Row],[Amount paid]]</f>
        <v>500</v>
      </c>
    </row>
    <row r="63" spans="1:20" x14ac:dyDescent="0.3">
      <c r="A63">
        <v>62</v>
      </c>
      <c r="B63" t="str">
        <f>Raw_data[[#This Row],[Student_ID]]</f>
        <v>S1081</v>
      </c>
      <c r="C63" t="str">
        <f>TRIM(PROPER(Raw_data[[#This Row],[Student_Name]]))</f>
        <v>Lakshya Sharma</v>
      </c>
      <c r="D63">
        <f>Raw_data[[#This Row],[Age]]</f>
        <v>27</v>
      </c>
      <c r="E63" t="str">
        <f>TRIM(PROPER(Raw_data[[#This Row],[Gender]]))</f>
        <v>Male</v>
      </c>
      <c r="F63" t="str">
        <f>TRIM(PROPER(Raw_data[[#This Row],[City]]))</f>
        <v>Pune</v>
      </c>
      <c r="G63" t="str">
        <f>TRIM(PROPER(Raw_data[[#This Row],[Course_Name]]))</f>
        <v>Business Analysis Fundamentals</v>
      </c>
      <c r="H63" t="str">
        <f>TRIM(PROPER(Raw_data[[#This Row],[Course_Category]]))</f>
        <v>Analytics</v>
      </c>
      <c r="I63" s="1">
        <f>Raw_data[[#This Row],[Enrollment_Date]]</f>
        <v>45387</v>
      </c>
      <c r="J63" s="1">
        <f>Raw_data[[#This Row],[Last_Login_Date]]</f>
        <v>45472</v>
      </c>
      <c r="K63">
        <f>Raw_data[[#This Row],[Course_Price]]</f>
        <v>7000</v>
      </c>
      <c r="L63">
        <f>Raw_data[[#This Row],[Discount_Applied]]</f>
        <v>1000</v>
      </c>
      <c r="M63">
        <f>Raw_data[[#This Row],[Amount_Paid]]</f>
        <v>6000</v>
      </c>
      <c r="N63" t="str">
        <f>TRIM(PROPER(Raw_data[[#This Row],[Completion_Status]]))</f>
        <v>Completed</v>
      </c>
      <c r="O63" t="str">
        <f>TRIM(PROPER(Raw_data[[#This Row],[Refund_Issued]]))</f>
        <v>Yes</v>
      </c>
      <c r="P63">
        <f>Raw_data[[#This Row],[Engagement_Score]]</f>
        <v>9</v>
      </c>
      <c r="Q63">
        <f>Raw_data[[#This Row],[Videos_Watched]]</f>
        <v>35</v>
      </c>
      <c r="R63" t="str">
        <f>TRIM(PROPER(Raw_data[[#This Row],[Assignments_Completed]]))</f>
        <v>Yes</v>
      </c>
      <c r="S63">
        <f>Raw_data[[#This Row],[Days_Inactive]]</f>
        <v>24</v>
      </c>
      <c r="T63">
        <f>Studentdata[[#This Row],[Course price]]-Studentdata[[#This Row],[Amount paid]]</f>
        <v>1000</v>
      </c>
    </row>
    <row r="64" spans="1:20" x14ac:dyDescent="0.3">
      <c r="A64">
        <v>63</v>
      </c>
      <c r="B64" t="str">
        <f>Raw_data[[#This Row],[Student_ID]]</f>
        <v>S1116</v>
      </c>
      <c r="C64" t="str">
        <f>TRIM(PROPER(Raw_data[[#This Row],[Student_Name]]))</f>
        <v>Lata Patel</v>
      </c>
      <c r="D64">
        <f>Raw_data[[#This Row],[Age]]</f>
        <v>20</v>
      </c>
      <c r="E64" t="str">
        <f>TRIM(PROPER(Raw_data[[#This Row],[Gender]]))</f>
        <v>Female</v>
      </c>
      <c r="F64" t="str">
        <f>TRIM(PROPER(Raw_data[[#This Row],[City]]))</f>
        <v>Chennai</v>
      </c>
      <c r="G64" t="str">
        <f>TRIM(PROPER(Raw_data[[#This Row],[Course_Name]]))</f>
        <v>Data Analytics Bootcamp</v>
      </c>
      <c r="H64" t="str">
        <f>TRIM(PROPER(Raw_data[[#This Row],[Course_Category]]))</f>
        <v>Analytics</v>
      </c>
      <c r="I64" s="1">
        <f>Raw_data[[#This Row],[Enrollment_Date]]</f>
        <v>45329</v>
      </c>
      <c r="J64" s="1">
        <f>Raw_data[[#This Row],[Last_Login_Date]]</f>
        <v>45353</v>
      </c>
      <c r="K64">
        <f>Raw_data[[#This Row],[Course_Price]]</f>
        <v>6000</v>
      </c>
      <c r="L64">
        <f>Raw_data[[#This Row],[Discount_Applied]]</f>
        <v>500</v>
      </c>
      <c r="M64">
        <f>Raw_data[[#This Row],[Amount_Paid]]</f>
        <v>5500</v>
      </c>
      <c r="N64" t="str">
        <f>TRIM(PROPER(Raw_data[[#This Row],[Completion_Status]]))</f>
        <v>Churned</v>
      </c>
      <c r="O64" t="str">
        <f>TRIM(PROPER(Raw_data[[#This Row],[Refund_Issued]]))</f>
        <v>Yes</v>
      </c>
      <c r="P64">
        <f>Raw_data[[#This Row],[Engagement_Score]]</f>
        <v>5</v>
      </c>
      <c r="Q64">
        <f>Raw_data[[#This Row],[Videos_Watched]]</f>
        <v>12</v>
      </c>
      <c r="R64" t="str">
        <f>TRIM(PROPER(Raw_data[[#This Row],[Assignments_Completed]]))</f>
        <v>Yes</v>
      </c>
      <c r="S64">
        <f>Raw_data[[#This Row],[Days_Inactive]]</f>
        <v>47</v>
      </c>
      <c r="T64">
        <f>Studentdata[[#This Row],[Course price]]-Studentdata[[#This Row],[Amount paid]]</f>
        <v>500</v>
      </c>
    </row>
    <row r="65" spans="1:20" x14ac:dyDescent="0.3">
      <c r="A65">
        <v>64</v>
      </c>
      <c r="B65" t="str">
        <f>Raw_data[[#This Row],[Student_ID]]</f>
        <v>S1105</v>
      </c>
      <c r="C65" t="str">
        <f>TRIM(PROPER(Raw_data[[#This Row],[Student_Name]]))</f>
        <v>Lokesh Verma</v>
      </c>
      <c r="D65">
        <f>Raw_data[[#This Row],[Age]]</f>
        <v>28</v>
      </c>
      <c r="E65" t="str">
        <f>TRIM(PROPER(Raw_data[[#This Row],[Gender]]))</f>
        <v>Male</v>
      </c>
      <c r="F65" t="str">
        <f>TRIM(PROPER(Raw_data[[#This Row],[City]]))</f>
        <v>Jaipur</v>
      </c>
      <c r="G65" t="str">
        <f>TRIM(PROPER(Raw_data[[#This Row],[Course_Name]]))</f>
        <v>Digital Marketing Pro</v>
      </c>
      <c r="H65" t="str">
        <f>TRIM(PROPER(Raw_data[[#This Row],[Course_Category]]))</f>
        <v>Marketing</v>
      </c>
      <c r="I65" s="1">
        <f>Raw_data[[#This Row],[Enrollment_Date]]</f>
        <v>45360</v>
      </c>
      <c r="J65" s="1">
        <f>Raw_data[[#This Row],[Last_Login_Date]]</f>
        <v>44986</v>
      </c>
      <c r="K65">
        <f>Raw_data[[#This Row],[Course_Price]]</f>
        <v>5000</v>
      </c>
      <c r="L65">
        <f>Raw_data[[#This Row],[Discount_Applied]]</f>
        <v>500</v>
      </c>
      <c r="M65">
        <f>Raw_data[[#This Row],[Amount_Paid]]</f>
        <v>4500</v>
      </c>
      <c r="N65" t="str">
        <f>TRIM(PROPER(Raw_data[[#This Row],[Completion_Status]]))</f>
        <v>Churned</v>
      </c>
      <c r="O65" t="str">
        <f>TRIM(PROPER(Raw_data[[#This Row],[Refund_Issued]]))</f>
        <v>Yes</v>
      </c>
      <c r="P65">
        <f>Raw_data[[#This Row],[Engagement_Score]]</f>
        <v>3</v>
      </c>
      <c r="Q65">
        <f>Raw_data[[#This Row],[Videos_Watched]]</f>
        <v>29</v>
      </c>
      <c r="R65" t="str">
        <f>TRIM(PROPER(Raw_data[[#This Row],[Assignments_Completed]]))</f>
        <v>Yes</v>
      </c>
      <c r="S65">
        <f>Raw_data[[#This Row],[Days_Inactive]]</f>
        <v>45</v>
      </c>
      <c r="T65">
        <f>Studentdata[[#This Row],[Course price]]-Studentdata[[#This Row],[Amount paid]]</f>
        <v>500</v>
      </c>
    </row>
    <row r="66" spans="1:20" x14ac:dyDescent="0.3">
      <c r="A66">
        <v>65</v>
      </c>
      <c r="B66" t="str">
        <f>Raw_data[[#This Row],[Student_ID]]</f>
        <v>S1099</v>
      </c>
      <c r="C66" t="str">
        <f>TRIM(PROPER(Raw_data[[#This Row],[Student_Name]]))</f>
        <v>Madhu Agarwal</v>
      </c>
      <c r="D66">
        <f>Raw_data[[#This Row],[Age]]</f>
        <v>33</v>
      </c>
      <c r="E66" t="str">
        <f>TRIM(PROPER(Raw_data[[#This Row],[Gender]]))</f>
        <v>Female</v>
      </c>
      <c r="F66" t="str">
        <f>TRIM(PROPER(Raw_data[[#This Row],[City]]))</f>
        <v>Delhi</v>
      </c>
      <c r="G66" t="str">
        <f>TRIM(PROPER(Raw_data[[#This Row],[Course_Name]]))</f>
        <v>Digital Marketing Pro</v>
      </c>
      <c r="H66" t="str">
        <f>TRIM(PROPER(Raw_data[[#This Row],[Course_Category]]))</f>
        <v>Marketing</v>
      </c>
      <c r="I66" s="1">
        <f>Raw_data[[#This Row],[Enrollment_Date]]</f>
        <v>45379</v>
      </c>
      <c r="J66" s="1">
        <f>Raw_data[[#This Row],[Last_Login_Date]]</f>
        <v>44986</v>
      </c>
      <c r="K66">
        <f>Raw_data[[#This Row],[Course_Price]]</f>
        <v>4000</v>
      </c>
      <c r="L66">
        <f>Raw_data[[#This Row],[Discount_Applied]]</f>
        <v>500</v>
      </c>
      <c r="M66">
        <f>Raw_data[[#This Row],[Amount_Paid]]</f>
        <v>3500</v>
      </c>
      <c r="N66" t="str">
        <f>TRIM(PROPER(Raw_data[[#This Row],[Completion_Status]]))</f>
        <v>Completed</v>
      </c>
      <c r="O66" t="str">
        <f>TRIM(PROPER(Raw_data[[#This Row],[Refund_Issued]]))</f>
        <v>Yes</v>
      </c>
      <c r="P66">
        <f>Raw_data[[#This Row],[Engagement_Score]]</f>
        <v>2</v>
      </c>
      <c r="Q66">
        <f>Raw_data[[#This Row],[Videos_Watched]]</f>
        <v>28</v>
      </c>
      <c r="R66" t="str">
        <f>TRIM(PROPER(Raw_data[[#This Row],[Assignments_Completed]]))</f>
        <v>Yes</v>
      </c>
      <c r="S66">
        <f>Raw_data[[#This Row],[Days_Inactive]]</f>
        <v>0</v>
      </c>
      <c r="T66">
        <f>Studentdata[[#This Row],[Course price]]-Studentdata[[#This Row],[Amount paid]]</f>
        <v>500</v>
      </c>
    </row>
    <row r="67" spans="1:20" x14ac:dyDescent="0.3">
      <c r="A67">
        <v>66</v>
      </c>
      <c r="B67" t="str">
        <f>Raw_data[[#This Row],[Student_ID]]</f>
        <v>S1127</v>
      </c>
      <c r="C67" t="str">
        <f>TRIM(PROPER(Raw_data[[#This Row],[Student_Name]]))</f>
        <v>Mahesh Kumar</v>
      </c>
      <c r="D67">
        <f>Raw_data[[#This Row],[Age]]</f>
        <v>20</v>
      </c>
      <c r="E67" t="str">
        <f>TRIM(PROPER(Raw_data[[#This Row],[Gender]]))</f>
        <v>Male</v>
      </c>
      <c r="F67" t="str">
        <f>TRIM(PROPER(Raw_data[[#This Row],[City]]))</f>
        <v>Delhi</v>
      </c>
      <c r="G67" t="str">
        <f>TRIM(PROPER(Raw_data[[#This Row],[Course_Name]]))</f>
        <v>Business Analysis Fundamentals</v>
      </c>
      <c r="H67" t="str">
        <f>TRIM(PROPER(Raw_data[[#This Row],[Course_Category]]))</f>
        <v>Analytics</v>
      </c>
      <c r="I67" s="1">
        <f>Raw_data[[#This Row],[Enrollment_Date]]</f>
        <v>45490</v>
      </c>
      <c r="J67" s="1">
        <f>Raw_data[[#This Row],[Last_Login_Date]]</f>
        <v>45589</v>
      </c>
      <c r="K67">
        <f>Raw_data[[#This Row],[Course_Price]]</f>
        <v>7000</v>
      </c>
      <c r="L67">
        <f>Raw_data[[#This Row],[Discount_Applied]]</f>
        <v>0</v>
      </c>
      <c r="M67">
        <f>Raw_data[[#This Row],[Amount_Paid]]</f>
        <v>7000</v>
      </c>
      <c r="N67" t="str">
        <f>TRIM(PROPER(Raw_data[[#This Row],[Completion_Status]]))</f>
        <v>Completed</v>
      </c>
      <c r="O67" t="str">
        <f>TRIM(PROPER(Raw_data[[#This Row],[Refund_Issued]]))</f>
        <v>No</v>
      </c>
      <c r="P67">
        <f>Raw_data[[#This Row],[Engagement_Score]]</f>
        <v>7</v>
      </c>
      <c r="Q67">
        <f>Raw_data[[#This Row],[Videos_Watched]]</f>
        <v>17</v>
      </c>
      <c r="R67" t="str">
        <f>TRIM(PROPER(Raw_data[[#This Row],[Assignments_Completed]]))</f>
        <v>Yes</v>
      </c>
      <c r="S67">
        <f>Raw_data[[#This Row],[Days_Inactive]]</f>
        <v>17</v>
      </c>
      <c r="T67">
        <f>Studentdata[[#This Row],[Course price]]-Studentdata[[#This Row],[Amount paid]]</f>
        <v>0</v>
      </c>
    </row>
    <row r="68" spans="1:20" x14ac:dyDescent="0.3">
      <c r="A68">
        <v>67</v>
      </c>
      <c r="B68" t="str">
        <f>Raw_data[[#This Row],[Student_ID]]</f>
        <v>S1103</v>
      </c>
      <c r="C68" t="str">
        <f>TRIM(PROPER(Raw_data[[#This Row],[Student_Name]]))</f>
        <v>Manav Gupta</v>
      </c>
      <c r="D68">
        <f>Raw_data[[#This Row],[Age]]</f>
        <v>25</v>
      </c>
      <c r="E68" t="str">
        <f>TRIM(PROPER(Raw_data[[#This Row],[Gender]]))</f>
        <v>Male</v>
      </c>
      <c r="F68" t="str">
        <f>TRIM(PROPER(Raw_data[[#This Row],[City]]))</f>
        <v>Jaipur</v>
      </c>
      <c r="G68" t="str">
        <f>TRIM(PROPER(Raw_data[[#This Row],[Course_Name]]))</f>
        <v>Sql Mastery</v>
      </c>
      <c r="H68" t="str">
        <f>TRIM(PROPER(Raw_data[[#This Row],[Course_Category]]))</f>
        <v>Analytics</v>
      </c>
      <c r="I68" s="1">
        <f>Raw_data[[#This Row],[Enrollment_Date]]</f>
        <v>45318</v>
      </c>
      <c r="J68" s="1">
        <f>Raw_data[[#This Row],[Last_Login_Date]]</f>
        <v>45330</v>
      </c>
      <c r="K68">
        <f>Raw_data[[#This Row],[Course_Price]]</f>
        <v>5000</v>
      </c>
      <c r="L68">
        <f>Raw_data[[#This Row],[Discount_Applied]]</f>
        <v>500</v>
      </c>
      <c r="M68">
        <f>Raw_data[[#This Row],[Amount_Paid]]</f>
        <v>4500</v>
      </c>
      <c r="N68" t="str">
        <f>TRIM(PROPER(Raw_data[[#This Row],[Completion_Status]]))</f>
        <v>Completed</v>
      </c>
      <c r="O68" t="str">
        <f>TRIM(PROPER(Raw_data[[#This Row],[Refund_Issued]]))</f>
        <v>No</v>
      </c>
      <c r="P68">
        <f>Raw_data[[#This Row],[Engagement_Score]]</f>
        <v>1</v>
      </c>
      <c r="Q68">
        <f>Raw_data[[#This Row],[Videos_Watched]]</f>
        <v>10</v>
      </c>
      <c r="R68" t="str">
        <f>TRIM(PROPER(Raw_data[[#This Row],[Assignments_Completed]]))</f>
        <v>No</v>
      </c>
      <c r="S68">
        <f>Raw_data[[#This Row],[Days_Inactive]]</f>
        <v>0</v>
      </c>
      <c r="T68">
        <f>Studentdata[[#This Row],[Course price]]-Studentdata[[#This Row],[Amount paid]]</f>
        <v>500</v>
      </c>
    </row>
    <row r="69" spans="1:20" x14ac:dyDescent="0.3">
      <c r="A69">
        <v>68</v>
      </c>
      <c r="B69" t="str">
        <f>Raw_data[[#This Row],[Student_ID]]</f>
        <v>S1046</v>
      </c>
      <c r="C69" t="str">
        <f>TRIM(PROPER(Raw_data[[#This Row],[Student_Name]]))</f>
        <v>Manish Verma</v>
      </c>
      <c r="D69">
        <f>Raw_data[[#This Row],[Age]]</f>
        <v>34</v>
      </c>
      <c r="E69" t="str">
        <f>TRIM(PROPER(Raw_data[[#This Row],[Gender]]))</f>
        <v>Male</v>
      </c>
      <c r="F69" t="str">
        <f>TRIM(PROPER(Raw_data[[#This Row],[City]]))</f>
        <v>Chennai</v>
      </c>
      <c r="G69" t="str">
        <f>TRIM(PROPER(Raw_data[[#This Row],[Course_Name]]))</f>
        <v>Power Bi Complete Guide</v>
      </c>
      <c r="H69" t="str">
        <f>TRIM(PROPER(Raw_data[[#This Row],[Course_Category]]))</f>
        <v>Analytics</v>
      </c>
      <c r="I69" s="1">
        <f>Raw_data[[#This Row],[Enrollment_Date]]</f>
        <v>45592</v>
      </c>
      <c r="J69" s="1">
        <f>Raw_data[[#This Row],[Last_Login_Date]]</f>
        <v>44986</v>
      </c>
      <c r="K69">
        <f>Raw_data[[#This Row],[Course_Price]]</f>
        <v>6000</v>
      </c>
      <c r="L69">
        <f>Raw_data[[#This Row],[Discount_Applied]]</f>
        <v>500</v>
      </c>
      <c r="M69">
        <f>Raw_data[[#This Row],[Amount_Paid]]</f>
        <v>5500</v>
      </c>
      <c r="N69" t="str">
        <f>TRIM(PROPER(Raw_data[[#This Row],[Completion_Status]]))</f>
        <v>Churned</v>
      </c>
      <c r="O69" t="str">
        <f>TRIM(PROPER(Raw_data[[#This Row],[Refund_Issued]]))</f>
        <v>Yes</v>
      </c>
      <c r="P69">
        <f>Raw_data[[#This Row],[Engagement_Score]]</f>
        <v>0</v>
      </c>
      <c r="Q69">
        <f>Raw_data[[#This Row],[Videos_Watched]]</f>
        <v>35</v>
      </c>
      <c r="R69" t="str">
        <f>TRIM(PROPER(Raw_data[[#This Row],[Assignments_Completed]]))</f>
        <v>No</v>
      </c>
      <c r="S69">
        <f>Raw_data[[#This Row],[Days_Inactive]]</f>
        <v>0</v>
      </c>
      <c r="T69">
        <f>Studentdata[[#This Row],[Course price]]-Studentdata[[#This Row],[Amount paid]]</f>
        <v>500</v>
      </c>
    </row>
    <row r="70" spans="1:20" x14ac:dyDescent="0.3">
      <c r="A70">
        <v>69</v>
      </c>
      <c r="B70" t="str">
        <f>Raw_data[[#This Row],[Student_ID]]</f>
        <v>S1078</v>
      </c>
      <c r="C70" t="str">
        <f>TRIM(PROPER(Raw_data[[#This Row],[Student_Name]]))</f>
        <v>Mansi Jain</v>
      </c>
      <c r="D70">
        <f>Raw_data[[#This Row],[Age]]</f>
        <v>26</v>
      </c>
      <c r="E70" t="str">
        <f>TRIM(PROPER(Raw_data[[#This Row],[Gender]]))</f>
        <v>Female</v>
      </c>
      <c r="F70" t="str">
        <f>TRIM(PROPER(Raw_data[[#This Row],[City]]))</f>
        <v>Bangalore</v>
      </c>
      <c r="G70" t="str">
        <f>TRIM(PROPER(Raw_data[[#This Row],[Course_Name]]))</f>
        <v>Excel For Beginners</v>
      </c>
      <c r="H70" t="str">
        <f>TRIM(PROPER(Raw_data[[#This Row],[Course_Category]]))</f>
        <v>Productivity</v>
      </c>
      <c r="I70" s="1">
        <f>Raw_data[[#This Row],[Enrollment_Date]]</f>
        <v>45405</v>
      </c>
      <c r="J70" s="1">
        <f>Raw_data[[#This Row],[Last_Login_Date]]</f>
        <v>45509</v>
      </c>
      <c r="K70">
        <f>Raw_data[[#This Row],[Course_Price]]</f>
        <v>3000</v>
      </c>
      <c r="L70">
        <f>Raw_data[[#This Row],[Discount_Applied]]</f>
        <v>500</v>
      </c>
      <c r="M70">
        <f>Raw_data[[#This Row],[Amount_Paid]]</f>
        <v>2500</v>
      </c>
      <c r="N70" t="str">
        <f>TRIM(PROPER(Raw_data[[#This Row],[Completion_Status]]))</f>
        <v>Completed</v>
      </c>
      <c r="O70" t="str">
        <f>TRIM(PROPER(Raw_data[[#This Row],[Refund_Issued]]))</f>
        <v>No</v>
      </c>
      <c r="P70">
        <f>Raw_data[[#This Row],[Engagement_Score]]</f>
        <v>9</v>
      </c>
      <c r="Q70">
        <f>Raw_data[[#This Row],[Videos_Watched]]</f>
        <v>24</v>
      </c>
      <c r="R70" t="str">
        <f>TRIM(PROPER(Raw_data[[#This Row],[Assignments_Completed]]))</f>
        <v>Yes</v>
      </c>
      <c r="S70">
        <f>Raw_data[[#This Row],[Days_Inactive]]</f>
        <v>23</v>
      </c>
      <c r="T70">
        <f>Studentdata[[#This Row],[Course price]]-Studentdata[[#This Row],[Amount paid]]</f>
        <v>500</v>
      </c>
    </row>
    <row r="71" spans="1:20" x14ac:dyDescent="0.3">
      <c r="A71">
        <v>70</v>
      </c>
      <c r="B71" t="str">
        <f>Raw_data[[#This Row],[Student_ID]]</f>
        <v>S1090</v>
      </c>
      <c r="C71" t="str">
        <f>TRIM(PROPER(Raw_data[[#This Row],[Student_Name]]))</f>
        <v>Mayank Sharma</v>
      </c>
      <c r="D71">
        <f>Raw_data[[#This Row],[Age]]</f>
        <v>22</v>
      </c>
      <c r="E71" t="str">
        <f>TRIM(PROPER(Raw_data[[#This Row],[Gender]]))</f>
        <v>Male</v>
      </c>
      <c r="F71" t="str">
        <f>TRIM(PROPER(Raw_data[[#This Row],[City]]))</f>
        <v>Mumbai</v>
      </c>
      <c r="G71" t="str">
        <f>TRIM(PROPER(Raw_data[[#This Row],[Course_Name]]))</f>
        <v>Digital Marketing Pro</v>
      </c>
      <c r="H71" t="str">
        <f>TRIM(PROPER(Raw_data[[#This Row],[Course_Category]]))</f>
        <v>Marketing</v>
      </c>
      <c r="I71" s="1">
        <f>Raw_data[[#This Row],[Enrollment_Date]]</f>
        <v>45640</v>
      </c>
      <c r="J71" s="1">
        <f>Raw_data[[#This Row],[Last_Login_Date]]</f>
        <v>45706</v>
      </c>
      <c r="K71">
        <f>Raw_data[[#This Row],[Course_Price]]</f>
        <v>6000</v>
      </c>
      <c r="L71">
        <f>Raw_data[[#This Row],[Discount_Applied]]</f>
        <v>0</v>
      </c>
      <c r="M71">
        <f>Raw_data[[#This Row],[Amount_Paid]]</f>
        <v>6000</v>
      </c>
      <c r="N71" t="str">
        <f>TRIM(PROPER(Raw_data[[#This Row],[Completion_Status]]))</f>
        <v>Churned</v>
      </c>
      <c r="O71" t="str">
        <f>TRIM(PROPER(Raw_data[[#This Row],[Refund_Issued]]))</f>
        <v>Yes</v>
      </c>
      <c r="P71">
        <f>Raw_data[[#This Row],[Engagement_Score]]</f>
        <v>0</v>
      </c>
      <c r="Q71">
        <f>Raw_data[[#This Row],[Videos_Watched]]</f>
        <v>32</v>
      </c>
      <c r="R71" t="str">
        <f>TRIM(PROPER(Raw_data[[#This Row],[Assignments_Completed]]))</f>
        <v>Yes</v>
      </c>
      <c r="S71">
        <f>Raw_data[[#This Row],[Days_Inactive]]</f>
        <v>15</v>
      </c>
      <c r="T71">
        <f>Studentdata[[#This Row],[Course price]]-Studentdata[[#This Row],[Amount paid]]</f>
        <v>0</v>
      </c>
    </row>
    <row r="72" spans="1:20" x14ac:dyDescent="0.3">
      <c r="A72">
        <v>71</v>
      </c>
      <c r="B72" t="str">
        <f>Raw_data[[#This Row],[Student_ID]]</f>
        <v>S1037</v>
      </c>
      <c r="C72" t="str">
        <f>TRIM(PROPER(Raw_data[[#This Row],[Student_Name]]))</f>
        <v>Mehak Arora</v>
      </c>
      <c r="D72">
        <f>Raw_data[[#This Row],[Age]]</f>
        <v>33</v>
      </c>
      <c r="E72" t="str">
        <f>TRIM(PROPER(Raw_data[[#This Row],[Gender]]))</f>
        <v>Female</v>
      </c>
      <c r="F72" t="str">
        <f>TRIM(PROPER(Raw_data[[#This Row],[City]]))</f>
        <v>Chennai</v>
      </c>
      <c r="G72" t="str">
        <f>TRIM(PROPER(Raw_data[[#This Row],[Course_Name]]))</f>
        <v>Digital Marketing Pro</v>
      </c>
      <c r="H72" t="str">
        <f>TRIM(PROPER(Raw_data[[#This Row],[Course_Category]]))</f>
        <v>Marketing</v>
      </c>
      <c r="I72" s="1">
        <f>Raw_data[[#This Row],[Enrollment_Date]]</f>
        <v>45517</v>
      </c>
      <c r="J72" s="1">
        <f>Raw_data[[#This Row],[Last_Login_Date]]</f>
        <v>45560</v>
      </c>
      <c r="K72">
        <f>Raw_data[[#This Row],[Course_Price]]</f>
        <v>5000</v>
      </c>
      <c r="L72">
        <f>Raw_data[[#This Row],[Discount_Applied]]</f>
        <v>500</v>
      </c>
      <c r="M72">
        <f>Raw_data[[#This Row],[Amount_Paid]]</f>
        <v>4500</v>
      </c>
      <c r="N72" t="str">
        <f>TRIM(PROPER(Raw_data[[#This Row],[Completion_Status]]))</f>
        <v>Completed</v>
      </c>
      <c r="O72" t="str">
        <f>TRIM(PROPER(Raw_data[[#This Row],[Refund_Issued]]))</f>
        <v>Yes</v>
      </c>
      <c r="P72">
        <f>Raw_data[[#This Row],[Engagement_Score]]</f>
        <v>7</v>
      </c>
      <c r="Q72">
        <f>Raw_data[[#This Row],[Videos_Watched]]</f>
        <v>36</v>
      </c>
      <c r="R72" t="str">
        <f>TRIM(PROPER(Raw_data[[#This Row],[Assignments_Completed]]))</f>
        <v>Yes</v>
      </c>
      <c r="S72">
        <f>Raw_data[[#This Row],[Days_Inactive]]</f>
        <v>19</v>
      </c>
      <c r="T72">
        <f>Studentdata[[#This Row],[Course price]]-Studentdata[[#This Row],[Amount paid]]</f>
        <v>500</v>
      </c>
    </row>
    <row r="73" spans="1:20" x14ac:dyDescent="0.3">
      <c r="A73">
        <v>72</v>
      </c>
      <c r="B73" t="str">
        <f>Raw_data[[#This Row],[Student_ID]]</f>
        <v>S1050</v>
      </c>
      <c r="C73" t="str">
        <f>TRIM(PROPER(Raw_data[[#This Row],[Student_Name]]))</f>
        <v>Mohit Agarwal</v>
      </c>
      <c r="D73">
        <f>Raw_data[[#This Row],[Age]]</f>
        <v>31</v>
      </c>
      <c r="E73" t="str">
        <f>TRIM(PROPER(Raw_data[[#This Row],[Gender]]))</f>
        <v>Male</v>
      </c>
      <c r="F73" t="str">
        <f>TRIM(PROPER(Raw_data[[#This Row],[City]]))</f>
        <v>Mumbai</v>
      </c>
      <c r="G73" t="str">
        <f>TRIM(PROPER(Raw_data[[#This Row],[Course_Name]]))</f>
        <v>Business Analysis Fundamentals</v>
      </c>
      <c r="H73" t="str">
        <f>TRIM(PROPER(Raw_data[[#This Row],[Course_Category]]))</f>
        <v>Analytics</v>
      </c>
      <c r="I73" s="1">
        <f>Raw_data[[#This Row],[Enrollment_Date]]</f>
        <v>45609</v>
      </c>
      <c r="J73" s="1">
        <f>Raw_data[[#This Row],[Last_Login_Date]]</f>
        <v>44986</v>
      </c>
      <c r="K73">
        <f>Raw_data[[#This Row],[Course_Price]]</f>
        <v>7000</v>
      </c>
      <c r="L73">
        <f>Raw_data[[#This Row],[Discount_Applied]]</f>
        <v>500</v>
      </c>
      <c r="M73">
        <f>Raw_data[[#This Row],[Amount_Paid]]</f>
        <v>6500</v>
      </c>
      <c r="N73" t="str">
        <f>TRIM(PROPER(Raw_data[[#This Row],[Completion_Status]]))</f>
        <v>Completed</v>
      </c>
      <c r="O73" t="str">
        <f>TRIM(PROPER(Raw_data[[#This Row],[Refund_Issued]]))</f>
        <v>No</v>
      </c>
      <c r="P73">
        <f>Raw_data[[#This Row],[Engagement_Score]]</f>
        <v>0</v>
      </c>
      <c r="Q73">
        <f>Raw_data[[#This Row],[Videos_Watched]]</f>
        <v>42</v>
      </c>
      <c r="R73" t="str">
        <f>TRIM(PROPER(Raw_data[[#This Row],[Assignments_Completed]]))</f>
        <v>Yes</v>
      </c>
      <c r="S73">
        <f>Raw_data[[#This Row],[Days_Inactive]]</f>
        <v>0</v>
      </c>
      <c r="T73">
        <f>Studentdata[[#This Row],[Course price]]-Studentdata[[#This Row],[Amount paid]]</f>
        <v>500</v>
      </c>
    </row>
    <row r="74" spans="1:20" x14ac:dyDescent="0.3">
      <c r="A74">
        <v>73</v>
      </c>
      <c r="B74" t="str">
        <f>Raw_data[[#This Row],[Student_ID]]</f>
        <v>S1111</v>
      </c>
      <c r="C74" t="str">
        <f>TRIM(PROPER(Raw_data[[#This Row],[Student_Name]]))</f>
        <v>Monika Sharma</v>
      </c>
      <c r="D74">
        <f>Raw_data[[#This Row],[Age]]</f>
        <v>30</v>
      </c>
      <c r="E74" t="str">
        <f>TRIM(PROPER(Raw_data[[#This Row],[Gender]]))</f>
        <v>Female</v>
      </c>
      <c r="F74" t="str">
        <f>TRIM(PROPER(Raw_data[[#This Row],[City]]))</f>
        <v>Kolkata</v>
      </c>
      <c r="G74" t="str">
        <f>TRIM(PROPER(Raw_data[[#This Row],[Course_Name]]))</f>
        <v>Advanced Excel</v>
      </c>
      <c r="H74" t="str">
        <f>TRIM(PROPER(Raw_data[[#This Row],[Course_Category]]))</f>
        <v>Productivity</v>
      </c>
      <c r="I74" s="1">
        <f>Raw_data[[#This Row],[Enrollment_Date]]</f>
        <v>45626</v>
      </c>
      <c r="J74" s="1">
        <f>Raw_data[[#This Row],[Last_Login_Date]]</f>
        <v>45736</v>
      </c>
      <c r="K74">
        <f>Raw_data[[#This Row],[Course_Price]]</f>
        <v>4000</v>
      </c>
      <c r="L74">
        <f>Raw_data[[#This Row],[Discount_Applied]]</f>
        <v>0</v>
      </c>
      <c r="M74">
        <f>Raw_data[[#This Row],[Amount_Paid]]</f>
        <v>4000</v>
      </c>
      <c r="N74" t="str">
        <f>TRIM(PROPER(Raw_data[[#This Row],[Completion_Status]]))</f>
        <v>Churned</v>
      </c>
      <c r="O74" t="str">
        <f>TRIM(PROPER(Raw_data[[#This Row],[Refund_Issued]]))</f>
        <v>Yes</v>
      </c>
      <c r="P74">
        <f>Raw_data[[#This Row],[Engagement_Score]]</f>
        <v>3</v>
      </c>
      <c r="Q74">
        <f>Raw_data[[#This Row],[Videos_Watched]]</f>
        <v>48</v>
      </c>
      <c r="R74" t="str">
        <f>TRIM(PROPER(Raw_data[[#This Row],[Assignments_Completed]]))</f>
        <v>Yes</v>
      </c>
      <c r="S74">
        <f>Raw_data[[#This Row],[Days_Inactive]]</f>
        <v>59</v>
      </c>
      <c r="T74">
        <f>Studentdata[[#This Row],[Course price]]-Studentdata[[#This Row],[Amount paid]]</f>
        <v>0</v>
      </c>
    </row>
    <row r="75" spans="1:20" x14ac:dyDescent="0.3">
      <c r="A75">
        <v>74</v>
      </c>
      <c r="B75" t="str">
        <f>Raw_data[[#This Row],[Student_ID]]</f>
        <v>S1129</v>
      </c>
      <c r="C75" t="str">
        <f>TRIM(PROPER(Raw_data[[#This Row],[Student_Name]]))</f>
        <v>Mukesh Kumar</v>
      </c>
      <c r="D75">
        <f>Raw_data[[#This Row],[Age]]</f>
        <v>28</v>
      </c>
      <c r="E75" t="str">
        <f>TRIM(PROPER(Raw_data[[#This Row],[Gender]]))</f>
        <v>Male</v>
      </c>
      <c r="F75" t="str">
        <f>TRIM(PROPER(Raw_data[[#This Row],[City]]))</f>
        <v>Chandigarh</v>
      </c>
      <c r="G75" t="str">
        <f>TRIM(PROPER(Raw_data[[#This Row],[Course_Name]]))</f>
        <v>Power Bi Complete Guide</v>
      </c>
      <c r="H75" t="str">
        <f>TRIM(PROPER(Raw_data[[#This Row],[Course_Category]]))</f>
        <v>Analytics</v>
      </c>
      <c r="I75" s="1">
        <f>Raw_data[[#This Row],[Enrollment_Date]]</f>
        <v>45456</v>
      </c>
      <c r="J75" s="1">
        <f>Raw_data[[#This Row],[Last_Login_Date]]</f>
        <v>45533</v>
      </c>
      <c r="K75">
        <f>Raw_data[[#This Row],[Course_Price]]</f>
        <v>6000</v>
      </c>
      <c r="L75">
        <f>Raw_data[[#This Row],[Discount_Applied]]</f>
        <v>1000</v>
      </c>
      <c r="M75">
        <f>Raw_data[[#This Row],[Amount_Paid]]</f>
        <v>5000</v>
      </c>
      <c r="N75" t="str">
        <f>TRIM(PROPER(Raw_data[[#This Row],[Completion_Status]]))</f>
        <v>Completed</v>
      </c>
      <c r="O75" t="str">
        <f>TRIM(PROPER(Raw_data[[#This Row],[Refund_Issued]]))</f>
        <v>No</v>
      </c>
      <c r="P75">
        <f>Raw_data[[#This Row],[Engagement_Score]]</f>
        <v>5</v>
      </c>
      <c r="Q75">
        <f>Raw_data[[#This Row],[Videos_Watched]]</f>
        <v>44</v>
      </c>
      <c r="R75" t="str">
        <f>TRIM(PROPER(Raw_data[[#This Row],[Assignments_Completed]]))</f>
        <v>No</v>
      </c>
      <c r="S75">
        <f>Raw_data[[#This Row],[Days_Inactive]]</f>
        <v>0</v>
      </c>
      <c r="T75">
        <f>Studentdata[[#This Row],[Course price]]-Studentdata[[#This Row],[Amount paid]]</f>
        <v>1000</v>
      </c>
    </row>
    <row r="76" spans="1:20" x14ac:dyDescent="0.3">
      <c r="A76">
        <v>75</v>
      </c>
      <c r="B76" t="str">
        <f>Raw_data[[#This Row],[Student_ID]]</f>
        <v>S1059</v>
      </c>
      <c r="C76" t="str">
        <f>TRIM(PROPER(Raw_data[[#This Row],[Student_Name]]))</f>
        <v>Muskan Agarwal</v>
      </c>
      <c r="D76">
        <f>Raw_data[[#This Row],[Age]]</f>
        <v>18</v>
      </c>
      <c r="E76" t="str">
        <f>TRIM(PROPER(Raw_data[[#This Row],[Gender]]))</f>
        <v>Female</v>
      </c>
      <c r="F76" t="str">
        <f>TRIM(PROPER(Raw_data[[#This Row],[City]]))</f>
        <v>Hyderabad</v>
      </c>
      <c r="G76" t="str">
        <f>TRIM(PROPER(Raw_data[[#This Row],[Course_Name]]))</f>
        <v>Python For Data Science</v>
      </c>
      <c r="H76" t="str">
        <f>TRIM(PROPER(Raw_data[[#This Row],[Course_Category]]))</f>
        <v>Programming</v>
      </c>
      <c r="I76" s="1">
        <f>Raw_data[[#This Row],[Enrollment_Date]]</f>
        <v>45300</v>
      </c>
      <c r="J76" s="1">
        <f>Raw_data[[#This Row],[Last_Login_Date]]</f>
        <v>45322</v>
      </c>
      <c r="K76">
        <f>Raw_data[[#This Row],[Course_Price]]</f>
        <v>4000</v>
      </c>
      <c r="L76">
        <f>Raw_data[[#This Row],[Discount_Applied]]</f>
        <v>500</v>
      </c>
      <c r="M76">
        <f>Raw_data[[#This Row],[Amount_Paid]]</f>
        <v>3500</v>
      </c>
      <c r="N76" t="str">
        <f>TRIM(PROPER(Raw_data[[#This Row],[Completion_Status]]))</f>
        <v>Churned</v>
      </c>
      <c r="O76" t="str">
        <f>TRIM(PROPER(Raw_data[[#This Row],[Refund_Issued]]))</f>
        <v>Yes</v>
      </c>
      <c r="P76">
        <f>Raw_data[[#This Row],[Engagement_Score]]</f>
        <v>0</v>
      </c>
      <c r="Q76">
        <f>Raw_data[[#This Row],[Videos_Watched]]</f>
        <v>49</v>
      </c>
      <c r="R76" t="str">
        <f>TRIM(PROPER(Raw_data[[#This Row],[Assignments_Completed]]))</f>
        <v>Yes</v>
      </c>
      <c r="S76">
        <f>Raw_data[[#This Row],[Days_Inactive]]</f>
        <v>32</v>
      </c>
      <c r="T76">
        <f>Studentdata[[#This Row],[Course price]]-Studentdata[[#This Row],[Amount paid]]</f>
        <v>500</v>
      </c>
    </row>
    <row r="77" spans="1:20" x14ac:dyDescent="0.3">
      <c r="A77">
        <v>76</v>
      </c>
      <c r="B77" t="str">
        <f>Raw_data[[#This Row],[Student_ID]]</f>
        <v>S1024</v>
      </c>
      <c r="C77" t="str">
        <f>TRIM(PROPER(Raw_data[[#This Row],[Student_Name]]))</f>
        <v>Myra Nair</v>
      </c>
      <c r="D77">
        <f>Raw_data[[#This Row],[Age]]</f>
        <v>28</v>
      </c>
      <c r="E77" t="str">
        <f>TRIM(PROPER(Raw_data[[#This Row],[Gender]]))</f>
        <v>Female</v>
      </c>
      <c r="F77" t="str">
        <f>TRIM(PROPER(Raw_data[[#This Row],[City]]))</f>
        <v>Chennai</v>
      </c>
      <c r="G77" t="str">
        <f>TRIM(PROPER(Raw_data[[#This Row],[Course_Name]]))</f>
        <v>Sql Mastery</v>
      </c>
      <c r="H77" t="str">
        <f>TRIM(PROPER(Raw_data[[#This Row],[Course_Category]]))</f>
        <v>Analytics</v>
      </c>
      <c r="I77" s="1">
        <f>Raw_data[[#This Row],[Enrollment_Date]]</f>
        <v>45367</v>
      </c>
      <c r="J77" s="1">
        <f>Raw_data[[#This Row],[Last_Login_Date]]</f>
        <v>45370</v>
      </c>
      <c r="K77">
        <f>Raw_data[[#This Row],[Course_Price]]</f>
        <v>6000</v>
      </c>
      <c r="L77">
        <f>Raw_data[[#This Row],[Discount_Applied]]</f>
        <v>0</v>
      </c>
      <c r="M77">
        <f>Raw_data[[#This Row],[Amount_Paid]]</f>
        <v>6000</v>
      </c>
      <c r="N77" t="str">
        <f>TRIM(PROPER(Raw_data[[#This Row],[Completion_Status]]))</f>
        <v>Churned</v>
      </c>
      <c r="O77" t="str">
        <f>TRIM(PROPER(Raw_data[[#This Row],[Refund_Issued]]))</f>
        <v>Yes</v>
      </c>
      <c r="P77">
        <f>Raw_data[[#This Row],[Engagement_Score]]</f>
        <v>7</v>
      </c>
      <c r="Q77">
        <f>Raw_data[[#This Row],[Videos_Watched]]</f>
        <v>36</v>
      </c>
      <c r="R77" t="str">
        <f>TRIM(PROPER(Raw_data[[#This Row],[Assignments_Completed]]))</f>
        <v>No</v>
      </c>
      <c r="S77">
        <f>Raw_data[[#This Row],[Days_Inactive]]</f>
        <v>0</v>
      </c>
      <c r="T77">
        <f>Studentdata[[#This Row],[Course price]]-Studentdata[[#This Row],[Amount paid]]</f>
        <v>0</v>
      </c>
    </row>
    <row r="78" spans="1:20" x14ac:dyDescent="0.3">
      <c r="A78">
        <v>77</v>
      </c>
      <c r="B78" t="str">
        <f>Raw_data[[#This Row],[Student_ID]]</f>
        <v>S1073</v>
      </c>
      <c r="C78" t="str">
        <f>TRIM(PROPER(Raw_data[[#This Row],[Student_Name]]))</f>
        <v>Nandini Gupta</v>
      </c>
      <c r="D78">
        <f>Raw_data[[#This Row],[Age]]</f>
        <v>34</v>
      </c>
      <c r="E78" t="str">
        <f>TRIM(PROPER(Raw_data[[#This Row],[Gender]]))</f>
        <v>Female</v>
      </c>
      <c r="F78" t="str">
        <f>TRIM(PROPER(Raw_data[[#This Row],[City]]))</f>
        <v>Pune</v>
      </c>
      <c r="G78" t="str">
        <f>TRIM(PROPER(Raw_data[[#This Row],[Course_Name]]))</f>
        <v>Business Analysis Fundamentals</v>
      </c>
      <c r="H78" t="str">
        <f>TRIM(PROPER(Raw_data[[#This Row],[Course_Category]]))</f>
        <v>Analytics</v>
      </c>
      <c r="I78" s="1">
        <f>Raw_data[[#This Row],[Enrollment_Date]]</f>
        <v>45501</v>
      </c>
      <c r="J78" s="1">
        <f>Raw_data[[#This Row],[Last_Login_Date]]</f>
        <v>45393</v>
      </c>
      <c r="K78">
        <f>Raw_data[[#This Row],[Course_Price]]</f>
        <v>6000</v>
      </c>
      <c r="L78">
        <f>Raw_data[[#This Row],[Discount_Applied]]</f>
        <v>1000</v>
      </c>
      <c r="M78">
        <f>Raw_data[[#This Row],[Amount_Paid]]</f>
        <v>5000</v>
      </c>
      <c r="N78" t="str">
        <f>TRIM(PROPER(Raw_data[[#This Row],[Completion_Status]]))</f>
        <v>Completed</v>
      </c>
      <c r="O78" t="str">
        <f>TRIM(PROPER(Raw_data[[#This Row],[Refund_Issued]]))</f>
        <v>Yes</v>
      </c>
      <c r="P78">
        <f>Raw_data[[#This Row],[Engagement_Score]]</f>
        <v>9</v>
      </c>
      <c r="Q78">
        <f>Raw_data[[#This Row],[Videos_Watched]]</f>
        <v>24</v>
      </c>
      <c r="R78" t="str">
        <f>TRIM(PROPER(Raw_data[[#This Row],[Assignments_Completed]]))</f>
        <v>Yes</v>
      </c>
      <c r="S78">
        <f>Raw_data[[#This Row],[Days_Inactive]]</f>
        <v>84</v>
      </c>
      <c r="T78">
        <f>Studentdata[[#This Row],[Course price]]-Studentdata[[#This Row],[Amount paid]]</f>
        <v>1000</v>
      </c>
    </row>
    <row r="79" spans="1:20" x14ac:dyDescent="0.3">
      <c r="A79">
        <v>78</v>
      </c>
      <c r="B79" t="str">
        <f>Raw_data[[#This Row],[Student_ID]]</f>
        <v>S1126</v>
      </c>
      <c r="C79" t="str">
        <f>TRIM(PROPER(Raw_data[[#This Row],[Student_Name]]))</f>
        <v>Naresh Kumar</v>
      </c>
      <c r="D79">
        <f>Raw_data[[#This Row],[Age]]</f>
        <v>28</v>
      </c>
      <c r="E79" t="str">
        <f>TRIM(PROPER(Raw_data[[#This Row],[Gender]]))</f>
        <v>Male</v>
      </c>
      <c r="F79" t="str">
        <f>TRIM(PROPER(Raw_data[[#This Row],[City]]))</f>
        <v>Delhi</v>
      </c>
      <c r="G79" t="str">
        <f>TRIM(PROPER(Raw_data[[#This Row],[Course_Name]]))</f>
        <v>Digital Marketing Pro</v>
      </c>
      <c r="H79" t="str">
        <f>TRIM(PROPER(Raw_data[[#This Row],[Course_Category]]))</f>
        <v>Marketing</v>
      </c>
      <c r="I79" s="1">
        <f>Raw_data[[#This Row],[Enrollment_Date]]</f>
        <v>45476</v>
      </c>
      <c r="J79" s="1">
        <f>Raw_data[[#This Row],[Last_Login_Date]]</f>
        <v>45514</v>
      </c>
      <c r="K79">
        <f>Raw_data[[#This Row],[Course_Price]]</f>
        <v>4000</v>
      </c>
      <c r="L79">
        <f>Raw_data[[#This Row],[Discount_Applied]]</f>
        <v>0</v>
      </c>
      <c r="M79">
        <f>Raw_data[[#This Row],[Amount_Paid]]</f>
        <v>4000</v>
      </c>
      <c r="N79" t="str">
        <f>TRIM(PROPER(Raw_data[[#This Row],[Completion_Status]]))</f>
        <v>Completed</v>
      </c>
      <c r="O79" t="str">
        <f>TRIM(PROPER(Raw_data[[#This Row],[Refund_Issued]]))</f>
        <v>No</v>
      </c>
      <c r="P79">
        <f>Raw_data[[#This Row],[Engagement_Score]]</f>
        <v>9</v>
      </c>
      <c r="Q79">
        <f>Raw_data[[#This Row],[Videos_Watched]]</f>
        <v>32</v>
      </c>
      <c r="R79" t="str">
        <f>TRIM(PROPER(Raw_data[[#This Row],[Assignments_Completed]]))</f>
        <v>No</v>
      </c>
      <c r="S79">
        <f>Raw_data[[#This Row],[Days_Inactive]]</f>
        <v>6</v>
      </c>
      <c r="T79">
        <f>Studentdata[[#This Row],[Course price]]-Studentdata[[#This Row],[Amount paid]]</f>
        <v>0</v>
      </c>
    </row>
    <row r="80" spans="1:20" x14ac:dyDescent="0.3">
      <c r="A80">
        <v>79</v>
      </c>
      <c r="B80" t="str">
        <f>Raw_data[[#This Row],[Student_ID]]</f>
        <v>S1028</v>
      </c>
      <c r="C80" t="str">
        <f>TRIM(PROPER(Raw_data[[#This Row],[Student_Name]]))</f>
        <v>Navya Iyer</v>
      </c>
      <c r="D80">
        <f>Raw_data[[#This Row],[Age]]</f>
        <v>30</v>
      </c>
      <c r="E80" t="str">
        <f>TRIM(PROPER(Raw_data[[#This Row],[Gender]]))</f>
        <v>Female</v>
      </c>
      <c r="F80" t="str">
        <f>TRIM(PROPER(Raw_data[[#This Row],[City]]))</f>
        <v>Chennai</v>
      </c>
      <c r="G80" t="str">
        <f>TRIM(PROPER(Raw_data[[#This Row],[Course_Name]]))</f>
        <v>Business Analysis Fundamentals</v>
      </c>
      <c r="H80" t="str">
        <f>TRIM(PROPER(Raw_data[[#This Row],[Course_Category]]))</f>
        <v>Analytics</v>
      </c>
      <c r="I80" s="1">
        <f>Raw_data[[#This Row],[Enrollment_Date]]</f>
        <v>45567</v>
      </c>
      <c r="J80" s="1">
        <f>Raw_data[[#This Row],[Last_Login_Date]]</f>
        <v>45662</v>
      </c>
      <c r="K80">
        <f>Raw_data[[#This Row],[Course_Price]]</f>
        <v>6000</v>
      </c>
      <c r="L80">
        <f>Raw_data[[#This Row],[Discount_Applied]]</f>
        <v>500</v>
      </c>
      <c r="M80">
        <f>Raw_data[[#This Row],[Amount_Paid]]</f>
        <v>5500</v>
      </c>
      <c r="N80" t="str">
        <f>TRIM(PROPER(Raw_data[[#This Row],[Completion_Status]]))</f>
        <v>Completed</v>
      </c>
      <c r="O80" t="str">
        <f>TRIM(PROPER(Raw_data[[#This Row],[Refund_Issued]]))</f>
        <v>No</v>
      </c>
      <c r="P80">
        <f>Raw_data[[#This Row],[Engagement_Score]]</f>
        <v>0</v>
      </c>
      <c r="Q80">
        <f>Raw_data[[#This Row],[Videos_Watched]]</f>
        <v>21</v>
      </c>
      <c r="R80" t="str">
        <f>TRIM(PROPER(Raw_data[[#This Row],[Assignments_Completed]]))</f>
        <v>No</v>
      </c>
      <c r="S80">
        <f>Raw_data[[#This Row],[Days_Inactive]]</f>
        <v>0</v>
      </c>
      <c r="T80">
        <f>Studentdata[[#This Row],[Course price]]-Studentdata[[#This Row],[Amount paid]]</f>
        <v>500</v>
      </c>
    </row>
    <row r="81" spans="1:20" x14ac:dyDescent="0.3">
      <c r="A81">
        <v>80</v>
      </c>
      <c r="B81" t="str">
        <f>Raw_data[[#This Row],[Student_ID]]</f>
        <v>S1035</v>
      </c>
      <c r="C81" t="str">
        <f>TRIM(PROPER(Raw_data[[#This Row],[Student_Name]]))</f>
        <v>Neha Joshi</v>
      </c>
      <c r="D81">
        <f>Raw_data[[#This Row],[Age]]</f>
        <v>20</v>
      </c>
      <c r="E81" t="str">
        <f>TRIM(PROPER(Raw_data[[#This Row],[Gender]]))</f>
        <v>Female</v>
      </c>
      <c r="F81" t="str">
        <f>TRIM(PROPER(Raw_data[[#This Row],[City]]))</f>
        <v>Hyderabad</v>
      </c>
      <c r="G81" t="str">
        <f>TRIM(PROPER(Raw_data[[#This Row],[Course_Name]]))</f>
        <v>Python For Data Science</v>
      </c>
      <c r="H81" t="str">
        <f>TRIM(PROPER(Raw_data[[#This Row],[Course_Category]]))</f>
        <v>Programming</v>
      </c>
      <c r="I81" s="1">
        <f>Raw_data[[#This Row],[Enrollment_Date]]</f>
        <v>45534</v>
      </c>
      <c r="J81" s="1">
        <f>Raw_data[[#This Row],[Last_Login_Date]]</f>
        <v>45604</v>
      </c>
      <c r="K81">
        <f>Raw_data[[#This Row],[Course_Price]]</f>
        <v>6000</v>
      </c>
      <c r="L81">
        <f>Raw_data[[#This Row],[Discount_Applied]]</f>
        <v>0</v>
      </c>
      <c r="M81">
        <f>Raw_data[[#This Row],[Amount_Paid]]</f>
        <v>6000</v>
      </c>
      <c r="N81" t="str">
        <f>TRIM(PROPER(Raw_data[[#This Row],[Completion_Status]]))</f>
        <v>Completed</v>
      </c>
      <c r="O81" t="str">
        <f>TRIM(PROPER(Raw_data[[#This Row],[Refund_Issued]]))</f>
        <v>Yes</v>
      </c>
      <c r="P81">
        <f>Raw_data[[#This Row],[Engagement_Score]]</f>
        <v>0</v>
      </c>
      <c r="Q81">
        <f>Raw_data[[#This Row],[Videos_Watched]]</f>
        <v>16</v>
      </c>
      <c r="R81" t="str">
        <f>TRIM(PROPER(Raw_data[[#This Row],[Assignments_Completed]]))</f>
        <v>No</v>
      </c>
      <c r="S81">
        <f>Raw_data[[#This Row],[Days_Inactive]]</f>
        <v>0</v>
      </c>
      <c r="T81">
        <f>Studentdata[[#This Row],[Course price]]-Studentdata[[#This Row],[Amount paid]]</f>
        <v>0</v>
      </c>
    </row>
    <row r="82" spans="1:20" x14ac:dyDescent="0.3">
      <c r="A82">
        <v>81</v>
      </c>
      <c r="B82" t="str">
        <f>Raw_data[[#This Row],[Student_ID]]</f>
        <v>S1145</v>
      </c>
      <c r="C82" t="str">
        <f>TRIM(PROPER(Raw_data[[#This Row],[Student_Name]]))</f>
        <v>Neil Dsouza</v>
      </c>
      <c r="D82">
        <f>Raw_data[[#This Row],[Age]]</f>
        <v>29</v>
      </c>
      <c r="E82" t="str">
        <f>TRIM(PROPER(Raw_data[[#This Row],[Gender]]))</f>
        <v>Male</v>
      </c>
      <c r="F82" t="str">
        <f>TRIM(PROPER(Raw_data[[#This Row],[City]]))</f>
        <v>Chennai</v>
      </c>
      <c r="G82" t="str">
        <f>TRIM(PROPER(Raw_data[[#This Row],[Course_Name]]))</f>
        <v>Sql Mastery</v>
      </c>
      <c r="H82" t="str">
        <f>TRIM(PROPER(Raw_data[[#This Row],[Course_Category]]))</f>
        <v>Analytics</v>
      </c>
      <c r="I82" s="1">
        <f>Raw_data[[#This Row],[Enrollment_Date]]</f>
        <v>45481</v>
      </c>
      <c r="J82" s="1">
        <f>Raw_data[[#This Row],[Last_Login_Date]]</f>
        <v>45594</v>
      </c>
      <c r="K82">
        <f>Raw_data[[#This Row],[Course_Price]]</f>
        <v>3000</v>
      </c>
      <c r="L82">
        <f>Raw_data[[#This Row],[Discount_Applied]]</f>
        <v>500</v>
      </c>
      <c r="M82">
        <f>Raw_data[[#This Row],[Amount_Paid]]</f>
        <v>2500</v>
      </c>
      <c r="N82" t="str">
        <f>TRIM(PROPER(Raw_data[[#This Row],[Completion_Status]]))</f>
        <v>Churned</v>
      </c>
      <c r="O82" t="str">
        <f>TRIM(PROPER(Raw_data[[#This Row],[Refund_Issued]]))</f>
        <v>Yes</v>
      </c>
      <c r="P82">
        <f>Raw_data[[#This Row],[Engagement_Score]]</f>
        <v>3</v>
      </c>
      <c r="Q82">
        <f>Raw_data[[#This Row],[Videos_Watched]]</f>
        <v>33</v>
      </c>
      <c r="R82" t="str">
        <f>TRIM(PROPER(Raw_data[[#This Row],[Assignments_Completed]]))</f>
        <v>No</v>
      </c>
      <c r="S82">
        <f>Raw_data[[#This Row],[Days_Inactive]]</f>
        <v>1</v>
      </c>
      <c r="T82">
        <f>Studentdata[[#This Row],[Course price]]-Studentdata[[#This Row],[Amount paid]]</f>
        <v>500</v>
      </c>
    </row>
    <row r="83" spans="1:20" x14ac:dyDescent="0.3">
      <c r="A83">
        <v>82</v>
      </c>
      <c r="B83" t="str">
        <f>Raw_data[[#This Row],[Student_ID]]</f>
        <v>S1052</v>
      </c>
      <c r="C83" t="str">
        <f>TRIM(PROPER(Raw_data[[#This Row],[Student_Name]]))</f>
        <v>Nidhi Singh</v>
      </c>
      <c r="D83">
        <f>Raw_data[[#This Row],[Age]]</f>
        <v>30</v>
      </c>
      <c r="E83" t="str">
        <f>TRIM(PROPER(Raw_data[[#This Row],[Gender]]))</f>
        <v>Female</v>
      </c>
      <c r="F83" t="str">
        <f>TRIM(PROPER(Raw_data[[#This Row],[City]]))</f>
        <v>Chandigarh</v>
      </c>
      <c r="G83" t="str">
        <f>TRIM(PROPER(Raw_data[[#This Row],[Course_Name]]))</f>
        <v>Data Analytics Bootcamp</v>
      </c>
      <c r="H83" t="str">
        <f>TRIM(PROPER(Raw_data[[#This Row],[Course_Category]]))</f>
        <v>Analytics</v>
      </c>
      <c r="I83" s="1">
        <f>Raw_data[[#This Row],[Enrollment_Date]]</f>
        <v>45602</v>
      </c>
      <c r="J83" s="1">
        <f>Raw_data[[#This Row],[Last_Login_Date]]</f>
        <v>45697</v>
      </c>
      <c r="K83">
        <f>Raw_data[[#This Row],[Course_Price]]</f>
        <v>6000</v>
      </c>
      <c r="L83">
        <f>Raw_data[[#This Row],[Discount_Applied]]</f>
        <v>500</v>
      </c>
      <c r="M83">
        <f>Raw_data[[#This Row],[Amount_Paid]]</f>
        <v>5500</v>
      </c>
      <c r="N83" t="str">
        <f>TRIM(PROPER(Raw_data[[#This Row],[Completion_Status]]))</f>
        <v>Churned</v>
      </c>
      <c r="O83" t="str">
        <f>TRIM(PROPER(Raw_data[[#This Row],[Refund_Issued]]))</f>
        <v>Yes</v>
      </c>
      <c r="P83">
        <f>Raw_data[[#This Row],[Engagement_Score]]</f>
        <v>4</v>
      </c>
      <c r="Q83">
        <f>Raw_data[[#This Row],[Videos_Watched]]</f>
        <v>16</v>
      </c>
      <c r="R83" t="str">
        <f>TRIM(PROPER(Raw_data[[#This Row],[Assignments_Completed]]))</f>
        <v>No</v>
      </c>
      <c r="S83">
        <f>Raw_data[[#This Row],[Days_Inactive]]</f>
        <v>12</v>
      </c>
      <c r="T83">
        <f>Studentdata[[#This Row],[Course price]]-Studentdata[[#This Row],[Amount paid]]</f>
        <v>500</v>
      </c>
    </row>
    <row r="84" spans="1:20" x14ac:dyDescent="0.3">
      <c r="A84">
        <v>83</v>
      </c>
      <c r="B84" t="str">
        <f>Raw_data[[#This Row],[Student_ID]]</f>
        <v>S1044</v>
      </c>
      <c r="C84" t="str">
        <f>TRIM(PROPER(Raw_data[[#This Row],[Student_Name]]))</f>
        <v>Nikhil Gupta</v>
      </c>
      <c r="D84">
        <f>Raw_data[[#This Row],[Age]]</f>
        <v>24</v>
      </c>
      <c r="E84" t="str">
        <f>TRIM(PROPER(Raw_data[[#This Row],[Gender]]))</f>
        <v>Male</v>
      </c>
      <c r="F84" t="str">
        <f>TRIM(PROPER(Raw_data[[#This Row],[City]]))</f>
        <v>Bangalore</v>
      </c>
      <c r="G84" t="str">
        <f>TRIM(PROPER(Raw_data[[#This Row],[Course_Name]]))</f>
        <v>Digital Marketing Pro</v>
      </c>
      <c r="H84" t="str">
        <f>TRIM(PROPER(Raw_data[[#This Row],[Course_Category]]))</f>
        <v>Marketing</v>
      </c>
      <c r="I84" s="1">
        <f>Raw_data[[#This Row],[Enrollment_Date]]</f>
        <v>45649</v>
      </c>
      <c r="J84" s="1">
        <f>Raw_data[[#This Row],[Last_Login_Date]]</f>
        <v>45711</v>
      </c>
      <c r="K84">
        <f>Raw_data[[#This Row],[Course_Price]]</f>
        <v>5000</v>
      </c>
      <c r="L84">
        <f>Raw_data[[#This Row],[Discount_Applied]]</f>
        <v>0</v>
      </c>
      <c r="M84">
        <f>Raw_data[[#This Row],[Amount_Paid]]</f>
        <v>5000</v>
      </c>
      <c r="N84" t="str">
        <f>TRIM(PROPER(Raw_data[[#This Row],[Completion_Status]]))</f>
        <v>Churned</v>
      </c>
      <c r="O84" t="str">
        <f>TRIM(PROPER(Raw_data[[#This Row],[Refund_Issued]]))</f>
        <v>No</v>
      </c>
      <c r="P84">
        <f>Raw_data[[#This Row],[Engagement_Score]]</f>
        <v>5</v>
      </c>
      <c r="Q84">
        <f>Raw_data[[#This Row],[Videos_Watched]]</f>
        <v>0</v>
      </c>
      <c r="R84" t="str">
        <f>TRIM(PROPER(Raw_data[[#This Row],[Assignments_Completed]]))</f>
        <v>No</v>
      </c>
      <c r="S84">
        <f>Raw_data[[#This Row],[Days_Inactive]]</f>
        <v>26</v>
      </c>
      <c r="T84">
        <f>Studentdata[[#This Row],[Course price]]-Studentdata[[#This Row],[Amount paid]]</f>
        <v>0</v>
      </c>
    </row>
    <row r="85" spans="1:20" x14ac:dyDescent="0.3">
      <c r="A85">
        <v>84</v>
      </c>
      <c r="B85" t="str">
        <f>Raw_data[[#This Row],[Student_ID]]</f>
        <v>S1117</v>
      </c>
      <c r="C85" t="str">
        <f>TRIM(PROPER(Raw_data[[#This Row],[Student_Name]]))</f>
        <v>Nikita Mishra</v>
      </c>
      <c r="D85">
        <f>Raw_data[[#This Row],[Age]]</f>
        <v>24</v>
      </c>
      <c r="E85" t="str">
        <f>TRIM(PROPER(Raw_data[[#This Row],[Gender]]))</f>
        <v>Female</v>
      </c>
      <c r="F85" t="str">
        <f>TRIM(PROPER(Raw_data[[#This Row],[City]]))</f>
        <v>Pune</v>
      </c>
      <c r="G85" t="str">
        <f>TRIM(PROPER(Raw_data[[#This Row],[Course_Name]]))</f>
        <v>Business Analysis Fundamentals</v>
      </c>
      <c r="H85" t="str">
        <f>TRIM(PROPER(Raw_data[[#This Row],[Course_Category]]))</f>
        <v>Analytics</v>
      </c>
      <c r="I85" s="1">
        <f>Raw_data[[#This Row],[Enrollment_Date]]</f>
        <v>45530</v>
      </c>
      <c r="J85" s="1">
        <f>Raw_data[[#This Row],[Last_Login_Date]]</f>
        <v>45598</v>
      </c>
      <c r="K85">
        <f>Raw_data[[#This Row],[Course_Price]]</f>
        <v>5000</v>
      </c>
      <c r="L85">
        <f>Raw_data[[#This Row],[Discount_Applied]]</f>
        <v>1000</v>
      </c>
      <c r="M85">
        <f>Raw_data[[#This Row],[Amount_Paid]]</f>
        <v>4000</v>
      </c>
      <c r="N85" t="str">
        <f>TRIM(PROPER(Raw_data[[#This Row],[Completion_Status]]))</f>
        <v>Completed</v>
      </c>
      <c r="O85" t="str">
        <f>TRIM(PROPER(Raw_data[[#This Row],[Refund_Issued]]))</f>
        <v>Yes</v>
      </c>
      <c r="P85">
        <f>Raw_data[[#This Row],[Engagement_Score]]</f>
        <v>8</v>
      </c>
      <c r="Q85">
        <f>Raw_data[[#This Row],[Videos_Watched]]</f>
        <v>46</v>
      </c>
      <c r="R85" t="str">
        <f>TRIM(PROPER(Raw_data[[#This Row],[Assignments_Completed]]))</f>
        <v>No</v>
      </c>
      <c r="S85">
        <f>Raw_data[[#This Row],[Days_Inactive]]</f>
        <v>48</v>
      </c>
      <c r="T85">
        <f>Studentdata[[#This Row],[Course price]]-Studentdata[[#This Row],[Amount paid]]</f>
        <v>1000</v>
      </c>
    </row>
    <row r="86" spans="1:20" x14ac:dyDescent="0.3">
      <c r="A86">
        <v>85</v>
      </c>
      <c r="B86" t="str">
        <f>Raw_data[[#This Row],[Student_ID]]</f>
        <v>S1063</v>
      </c>
      <c r="C86" t="str">
        <f>TRIM(PROPER(Raw_data[[#This Row],[Student_Name]]))</f>
        <v>Nitin Gupta</v>
      </c>
      <c r="D86">
        <f>Raw_data[[#This Row],[Age]]</f>
        <v>35</v>
      </c>
      <c r="E86" t="str">
        <f>TRIM(PROPER(Raw_data[[#This Row],[Gender]]))</f>
        <v>Male</v>
      </c>
      <c r="F86" t="str">
        <f>TRIM(PROPER(Raw_data[[#This Row],[City]]))</f>
        <v>Mumbai</v>
      </c>
      <c r="G86" t="str">
        <f>TRIM(PROPER(Raw_data[[#This Row],[Course_Name]]))</f>
        <v>Python For Data Science</v>
      </c>
      <c r="H86" t="str">
        <f>TRIM(PROPER(Raw_data[[#This Row],[Course_Category]]))</f>
        <v>Programming</v>
      </c>
      <c r="I86" s="1">
        <f>Raw_data[[#This Row],[Enrollment_Date]]</f>
        <v>45632</v>
      </c>
      <c r="J86" s="1">
        <f>Raw_data[[#This Row],[Last_Login_Date]]</f>
        <v>45781</v>
      </c>
      <c r="K86">
        <f>Raw_data[[#This Row],[Course_Price]]</f>
        <v>5000</v>
      </c>
      <c r="L86">
        <f>Raw_data[[#This Row],[Discount_Applied]]</f>
        <v>0</v>
      </c>
      <c r="M86">
        <f>Raw_data[[#This Row],[Amount_Paid]]</f>
        <v>5000</v>
      </c>
      <c r="N86" t="str">
        <f>TRIM(PROPER(Raw_data[[#This Row],[Completion_Status]]))</f>
        <v>Completed</v>
      </c>
      <c r="O86" t="str">
        <f>TRIM(PROPER(Raw_data[[#This Row],[Refund_Issued]]))</f>
        <v>Yes</v>
      </c>
      <c r="P86">
        <f>Raw_data[[#This Row],[Engagement_Score]]</f>
        <v>10</v>
      </c>
      <c r="Q86">
        <f>Raw_data[[#This Row],[Videos_Watched]]</f>
        <v>13</v>
      </c>
      <c r="R86" t="str">
        <f>TRIM(PROPER(Raw_data[[#This Row],[Assignments_Completed]]))</f>
        <v>No</v>
      </c>
      <c r="S86">
        <f>Raw_data[[#This Row],[Days_Inactive]]</f>
        <v>42</v>
      </c>
      <c r="T86">
        <f>Studentdata[[#This Row],[Course price]]-Studentdata[[#This Row],[Amount paid]]</f>
        <v>0</v>
      </c>
    </row>
    <row r="87" spans="1:20" x14ac:dyDescent="0.3">
      <c r="A87">
        <v>86</v>
      </c>
      <c r="B87" t="str">
        <f>Raw_data[[#This Row],[Student_ID]]</f>
        <v>S1121</v>
      </c>
      <c r="C87" t="str">
        <f>TRIM(PROPER(Raw_data[[#This Row],[Student_Name]]))</f>
        <v>Om Prakash</v>
      </c>
      <c r="D87">
        <f>Raw_data[[#This Row],[Age]]</f>
        <v>34</v>
      </c>
      <c r="E87" t="str">
        <f>TRIM(PROPER(Raw_data[[#This Row],[Gender]]))</f>
        <v>Male</v>
      </c>
      <c r="F87" t="str">
        <f>TRIM(PROPER(Raw_data[[#This Row],[City]]))</f>
        <v>Mumbai</v>
      </c>
      <c r="G87" t="str">
        <f>TRIM(PROPER(Raw_data[[#This Row],[Course_Name]]))</f>
        <v>Advanced Excel</v>
      </c>
      <c r="H87" t="str">
        <f>TRIM(PROPER(Raw_data[[#This Row],[Course_Category]]))</f>
        <v>Productivity</v>
      </c>
      <c r="I87" s="1">
        <f>Raw_data[[#This Row],[Enrollment_Date]]</f>
        <v>45415</v>
      </c>
      <c r="J87" s="1">
        <f>Raw_data[[#This Row],[Last_Login_Date]]</f>
        <v>45439</v>
      </c>
      <c r="K87">
        <f>Raw_data[[#This Row],[Course_Price]]</f>
        <v>6000</v>
      </c>
      <c r="L87">
        <f>Raw_data[[#This Row],[Discount_Applied]]</f>
        <v>1000</v>
      </c>
      <c r="M87">
        <f>Raw_data[[#This Row],[Amount_Paid]]</f>
        <v>5000</v>
      </c>
      <c r="N87" t="str">
        <f>TRIM(PROPER(Raw_data[[#This Row],[Completion_Status]]))</f>
        <v>Completed</v>
      </c>
      <c r="O87" t="str">
        <f>TRIM(PROPER(Raw_data[[#This Row],[Refund_Issued]]))</f>
        <v>No</v>
      </c>
      <c r="P87">
        <f>Raw_data[[#This Row],[Engagement_Score]]</f>
        <v>0</v>
      </c>
      <c r="Q87">
        <f>Raw_data[[#This Row],[Videos_Watched]]</f>
        <v>29</v>
      </c>
      <c r="R87" t="str">
        <f>TRIM(PROPER(Raw_data[[#This Row],[Assignments_Completed]]))</f>
        <v>No</v>
      </c>
      <c r="S87">
        <f>Raw_data[[#This Row],[Days_Inactive]]</f>
        <v>15</v>
      </c>
      <c r="T87">
        <f>Studentdata[[#This Row],[Course price]]-Studentdata[[#This Row],[Amount paid]]</f>
        <v>1000</v>
      </c>
    </row>
    <row r="88" spans="1:20" x14ac:dyDescent="0.3">
      <c r="A88">
        <v>87</v>
      </c>
      <c r="B88" t="str">
        <f>Raw_data[[#This Row],[Student_ID]]</f>
        <v>S1071</v>
      </c>
      <c r="C88" t="str">
        <f>TRIM(PROPER(Raw_data[[#This Row],[Student_Name]]))</f>
        <v>Palak Sharma</v>
      </c>
      <c r="D88">
        <f>Raw_data[[#This Row],[Age]]</f>
        <v>20</v>
      </c>
      <c r="E88" t="str">
        <f>TRIM(PROPER(Raw_data[[#This Row],[Gender]]))</f>
        <v>Female</v>
      </c>
      <c r="F88" t="str">
        <f>TRIM(PROPER(Raw_data[[#This Row],[City]]))</f>
        <v>Chennai</v>
      </c>
      <c r="G88" t="str">
        <f>TRIM(PROPER(Raw_data[[#This Row],[Course_Name]]))</f>
        <v>Data Analytics Bootcamp</v>
      </c>
      <c r="H88" t="str">
        <f>TRIM(PROPER(Raw_data[[#This Row],[Course_Category]]))</f>
        <v>Analytics</v>
      </c>
      <c r="I88" s="1">
        <f>Raw_data[[#This Row],[Enrollment_Date]]</f>
        <v>45472</v>
      </c>
      <c r="J88" s="1">
        <f>Raw_data[[#This Row],[Last_Login_Date]]</f>
        <v>45536</v>
      </c>
      <c r="K88">
        <f>Raw_data[[#This Row],[Course_Price]]</f>
        <v>6000</v>
      </c>
      <c r="L88">
        <f>Raw_data[[#This Row],[Discount_Applied]]</f>
        <v>500</v>
      </c>
      <c r="M88">
        <f>Raw_data[[#This Row],[Amount_Paid]]</f>
        <v>5500</v>
      </c>
      <c r="N88" t="str">
        <f>TRIM(PROPER(Raw_data[[#This Row],[Completion_Status]]))</f>
        <v>Completed</v>
      </c>
      <c r="O88" t="str">
        <f>TRIM(PROPER(Raw_data[[#This Row],[Refund_Issued]]))</f>
        <v>Yes</v>
      </c>
      <c r="P88">
        <f>Raw_data[[#This Row],[Engagement_Score]]</f>
        <v>6</v>
      </c>
      <c r="Q88">
        <f>Raw_data[[#This Row],[Videos_Watched]]</f>
        <v>41</v>
      </c>
      <c r="R88" t="str">
        <f>TRIM(PROPER(Raw_data[[#This Row],[Assignments_Completed]]))</f>
        <v>Yes</v>
      </c>
      <c r="S88">
        <f>Raw_data[[#This Row],[Days_Inactive]]</f>
        <v>76</v>
      </c>
      <c r="T88">
        <f>Studentdata[[#This Row],[Course price]]-Studentdata[[#This Row],[Amount paid]]</f>
        <v>500</v>
      </c>
    </row>
    <row r="89" spans="1:20" x14ac:dyDescent="0.3">
      <c r="A89">
        <v>88</v>
      </c>
      <c r="B89" t="str">
        <f>Raw_data[[#This Row],[Student_ID]]</f>
        <v>S1092</v>
      </c>
      <c r="C89" t="str">
        <f>TRIM(PROPER(Raw_data[[#This Row],[Student_Name]]))</f>
        <v>Pallavi Singh</v>
      </c>
      <c r="D89">
        <f>Raw_data[[#This Row],[Age]]</f>
        <v>28</v>
      </c>
      <c r="E89" t="str">
        <f>TRIM(PROPER(Raw_data[[#This Row],[Gender]]))</f>
        <v>Female</v>
      </c>
      <c r="F89" t="str">
        <f>TRIM(PROPER(Raw_data[[#This Row],[City]]))</f>
        <v>Delhi</v>
      </c>
      <c r="G89" t="str">
        <f>TRIM(PROPER(Raw_data[[#This Row],[Course_Name]]))</f>
        <v>Power Bi Complete Guide</v>
      </c>
      <c r="H89" t="str">
        <f>TRIM(PROPER(Raw_data[[#This Row],[Course_Category]]))</f>
        <v>Analytics</v>
      </c>
      <c r="I89" s="1">
        <f>Raw_data[[#This Row],[Enrollment_Date]]</f>
        <v>45625</v>
      </c>
      <c r="J89" s="1">
        <f>Raw_data[[#This Row],[Last_Login_Date]]</f>
        <v>44986</v>
      </c>
      <c r="K89">
        <f>Raw_data[[#This Row],[Course_Price]]</f>
        <v>7000</v>
      </c>
      <c r="L89">
        <f>Raw_data[[#This Row],[Discount_Applied]]</f>
        <v>0</v>
      </c>
      <c r="M89">
        <f>Raw_data[[#This Row],[Amount_Paid]]</f>
        <v>7000</v>
      </c>
      <c r="N89" t="str">
        <f>TRIM(PROPER(Raw_data[[#This Row],[Completion_Status]]))</f>
        <v>Churned</v>
      </c>
      <c r="O89" t="str">
        <f>TRIM(PROPER(Raw_data[[#This Row],[Refund_Issued]]))</f>
        <v>No</v>
      </c>
      <c r="P89">
        <f>Raw_data[[#This Row],[Engagement_Score]]</f>
        <v>5</v>
      </c>
      <c r="Q89">
        <f>Raw_data[[#This Row],[Videos_Watched]]</f>
        <v>19</v>
      </c>
      <c r="R89" t="str">
        <f>TRIM(PROPER(Raw_data[[#This Row],[Assignments_Completed]]))</f>
        <v>No</v>
      </c>
      <c r="S89">
        <f>Raw_data[[#This Row],[Days_Inactive]]</f>
        <v>0</v>
      </c>
      <c r="T89">
        <f>Studentdata[[#This Row],[Course price]]-Studentdata[[#This Row],[Amount paid]]</f>
        <v>0</v>
      </c>
    </row>
    <row r="90" spans="1:20" x14ac:dyDescent="0.3">
      <c r="A90">
        <v>89</v>
      </c>
      <c r="B90" t="str">
        <f>Raw_data[[#This Row],[Student_ID]]</f>
        <v>S1082</v>
      </c>
      <c r="C90" t="str">
        <f>TRIM(PROPER(Raw_data[[#This Row],[Student_Name]]))</f>
        <v>Parth Singh</v>
      </c>
      <c r="D90">
        <f>Raw_data[[#This Row],[Age]]</f>
        <v>29</v>
      </c>
      <c r="E90" t="str">
        <f>TRIM(PROPER(Raw_data[[#This Row],[Gender]]))</f>
        <v>Male</v>
      </c>
      <c r="F90" t="str">
        <f>TRIM(PROPER(Raw_data[[#This Row],[City]]))</f>
        <v>Mumbai</v>
      </c>
      <c r="G90" t="str">
        <f>TRIM(PROPER(Raw_data[[#This Row],[Course_Name]]))</f>
        <v>Sql Mastery</v>
      </c>
      <c r="H90" t="str">
        <f>TRIM(PROPER(Raw_data[[#This Row],[Course_Category]]))</f>
        <v>Analytics</v>
      </c>
      <c r="I90" s="1">
        <f>Raw_data[[#This Row],[Enrollment_Date]]</f>
        <v>45334</v>
      </c>
      <c r="J90" s="1">
        <f>Raw_data[[#This Row],[Last_Login_Date]]</f>
        <v>45708</v>
      </c>
      <c r="K90">
        <f>Raw_data[[#This Row],[Course_Price]]</f>
        <v>4000</v>
      </c>
      <c r="L90">
        <f>Raw_data[[#This Row],[Discount_Applied]]</f>
        <v>0</v>
      </c>
      <c r="M90">
        <f>Raw_data[[#This Row],[Amount_Paid]]</f>
        <v>4000</v>
      </c>
      <c r="N90" t="str">
        <f>TRIM(PROPER(Raw_data[[#This Row],[Completion_Status]]))</f>
        <v>Completed</v>
      </c>
      <c r="O90" t="str">
        <f>TRIM(PROPER(Raw_data[[#This Row],[Refund_Issued]]))</f>
        <v>Yes</v>
      </c>
      <c r="P90">
        <f>Raw_data[[#This Row],[Engagement_Score]]</f>
        <v>3</v>
      </c>
      <c r="Q90">
        <f>Raw_data[[#This Row],[Videos_Watched]]</f>
        <v>29</v>
      </c>
      <c r="R90" t="str">
        <f>TRIM(PROPER(Raw_data[[#This Row],[Assignments_Completed]]))</f>
        <v>No</v>
      </c>
      <c r="S90">
        <f>Raw_data[[#This Row],[Days_Inactive]]</f>
        <v>40</v>
      </c>
      <c r="T90">
        <f>Studentdata[[#This Row],[Course price]]-Studentdata[[#This Row],[Amount paid]]</f>
        <v>0</v>
      </c>
    </row>
    <row r="91" spans="1:20" x14ac:dyDescent="0.3">
      <c r="A91">
        <v>90</v>
      </c>
      <c r="B91" t="str">
        <f>Raw_data[[#This Row],[Student_ID]]</f>
        <v>S1057</v>
      </c>
      <c r="C91" t="str">
        <f>TRIM(PROPER(Raw_data[[#This Row],[Student_Name]]))</f>
        <v>Payal Mishra</v>
      </c>
      <c r="D91">
        <f>Raw_data[[#This Row],[Age]]</f>
        <v>32</v>
      </c>
      <c r="E91" t="str">
        <f>TRIM(PROPER(Raw_data[[#This Row],[Gender]]))</f>
        <v>Female</v>
      </c>
      <c r="F91" t="str">
        <f>TRIM(PROPER(Raw_data[[#This Row],[City]]))</f>
        <v>Mumbai</v>
      </c>
      <c r="G91" t="str">
        <f>TRIM(PROPER(Raw_data[[#This Row],[Course_Name]]))</f>
        <v>Python For Data Science</v>
      </c>
      <c r="H91" t="str">
        <f>TRIM(PROPER(Raw_data[[#This Row],[Course_Category]]))</f>
        <v>Programming</v>
      </c>
      <c r="I91" s="1">
        <f>Raw_data[[#This Row],[Enrollment_Date]]</f>
        <v>45570</v>
      </c>
      <c r="J91" s="1">
        <f>Raw_data[[#This Row],[Last_Login_Date]]</f>
        <v>45685</v>
      </c>
      <c r="K91">
        <f>Raw_data[[#This Row],[Course_Price]]</f>
        <v>3000</v>
      </c>
      <c r="L91">
        <f>Raw_data[[#This Row],[Discount_Applied]]</f>
        <v>500</v>
      </c>
      <c r="M91">
        <f>Raw_data[[#This Row],[Amount_Paid]]</f>
        <v>2500</v>
      </c>
      <c r="N91" t="str">
        <f>TRIM(PROPER(Raw_data[[#This Row],[Completion_Status]]))</f>
        <v>Completed</v>
      </c>
      <c r="O91" t="str">
        <f>TRIM(PROPER(Raw_data[[#This Row],[Refund_Issued]]))</f>
        <v>No</v>
      </c>
      <c r="P91">
        <f>Raw_data[[#This Row],[Engagement_Score]]</f>
        <v>2</v>
      </c>
      <c r="Q91">
        <f>Raw_data[[#This Row],[Videos_Watched]]</f>
        <v>42</v>
      </c>
      <c r="R91" t="str">
        <f>TRIM(PROPER(Raw_data[[#This Row],[Assignments_Completed]]))</f>
        <v>No</v>
      </c>
      <c r="S91">
        <f>Raw_data[[#This Row],[Days_Inactive]]</f>
        <v>81</v>
      </c>
      <c r="T91">
        <f>Studentdata[[#This Row],[Course price]]-Studentdata[[#This Row],[Amount paid]]</f>
        <v>500</v>
      </c>
    </row>
    <row r="92" spans="1:20" x14ac:dyDescent="0.3">
      <c r="A92">
        <v>91</v>
      </c>
      <c r="B92" t="str">
        <f>Raw_data[[#This Row],[Student_ID]]</f>
        <v>S1106</v>
      </c>
      <c r="C92" t="str">
        <f>TRIM(PROPER(Raw_data[[#This Row],[Student_Name]]))</f>
        <v>Piyush Patel</v>
      </c>
      <c r="D92">
        <f>Raw_data[[#This Row],[Age]]</f>
        <v>27</v>
      </c>
      <c r="E92" t="str">
        <f>TRIM(PROPER(Raw_data[[#This Row],[Gender]]))</f>
        <v>Male</v>
      </c>
      <c r="F92" t="str">
        <f>TRIM(PROPER(Raw_data[[#This Row],[City]]))</f>
        <v>Kolkata</v>
      </c>
      <c r="G92" t="str">
        <f>TRIM(PROPER(Raw_data[[#This Row],[Course_Name]]))</f>
        <v>Python For Data Science</v>
      </c>
      <c r="H92" t="str">
        <f>TRIM(PROPER(Raw_data[[#This Row],[Course_Category]]))</f>
        <v>Programming</v>
      </c>
      <c r="I92" s="1">
        <f>Raw_data[[#This Row],[Enrollment_Date]]</f>
        <v>45336</v>
      </c>
      <c r="J92" s="1">
        <f>Raw_data[[#This Row],[Last_Login_Date]]</f>
        <v>45416</v>
      </c>
      <c r="K92">
        <f>Raw_data[[#This Row],[Course_Price]]</f>
        <v>4000</v>
      </c>
      <c r="L92">
        <f>Raw_data[[#This Row],[Discount_Applied]]</f>
        <v>500</v>
      </c>
      <c r="M92">
        <f>Raw_data[[#This Row],[Amount_Paid]]</f>
        <v>3500</v>
      </c>
      <c r="N92" t="str">
        <f>TRIM(PROPER(Raw_data[[#This Row],[Completion_Status]]))</f>
        <v>Churned</v>
      </c>
      <c r="O92" t="str">
        <f>TRIM(PROPER(Raw_data[[#This Row],[Refund_Issued]]))</f>
        <v>Yes</v>
      </c>
      <c r="P92">
        <f>Raw_data[[#This Row],[Engagement_Score]]</f>
        <v>0</v>
      </c>
      <c r="Q92">
        <f>Raw_data[[#This Row],[Videos_Watched]]</f>
        <v>24</v>
      </c>
      <c r="R92" t="str">
        <f>TRIM(PROPER(Raw_data[[#This Row],[Assignments_Completed]]))</f>
        <v>No</v>
      </c>
      <c r="S92">
        <f>Raw_data[[#This Row],[Days_Inactive]]</f>
        <v>0</v>
      </c>
      <c r="T92">
        <f>Studentdata[[#This Row],[Course price]]-Studentdata[[#This Row],[Amount paid]]</f>
        <v>500</v>
      </c>
    </row>
    <row r="93" spans="1:20" x14ac:dyDescent="0.3">
      <c r="A93">
        <v>92</v>
      </c>
      <c r="B93" t="str">
        <f>Raw_data[[#This Row],[Student_ID]]</f>
        <v>S1032</v>
      </c>
      <c r="C93" t="str">
        <f>TRIM(PROPER(Raw_data[[#This Row],[Student_Name]]))</f>
        <v>Pooja Sharma</v>
      </c>
      <c r="D93">
        <f>Raw_data[[#This Row],[Age]]</f>
        <v>19</v>
      </c>
      <c r="E93" t="str">
        <f>TRIM(PROPER(Raw_data[[#This Row],[Gender]]))</f>
        <v>Female</v>
      </c>
      <c r="F93" t="str">
        <f>TRIM(PROPER(Raw_data[[#This Row],[City]]))</f>
        <v>Kolkata</v>
      </c>
      <c r="G93" t="str">
        <f>TRIM(PROPER(Raw_data[[#This Row],[Course_Name]]))</f>
        <v>Python For Data Science</v>
      </c>
      <c r="H93" t="str">
        <f>TRIM(PROPER(Raw_data[[#This Row],[Course_Category]]))</f>
        <v>Programming</v>
      </c>
      <c r="I93" s="1">
        <f>Raw_data[[#This Row],[Enrollment_Date]]</f>
        <v>45327</v>
      </c>
      <c r="J93" s="1">
        <f>Raw_data[[#This Row],[Last_Login_Date]]</f>
        <v>45391</v>
      </c>
      <c r="K93">
        <f>Raw_data[[#This Row],[Course_Price]]</f>
        <v>3000</v>
      </c>
      <c r="L93">
        <f>Raw_data[[#This Row],[Discount_Applied]]</f>
        <v>500</v>
      </c>
      <c r="M93">
        <f>Raw_data[[#This Row],[Amount_Paid]]</f>
        <v>2500</v>
      </c>
      <c r="N93" t="str">
        <f>TRIM(PROPER(Raw_data[[#This Row],[Completion_Status]]))</f>
        <v>Churned</v>
      </c>
      <c r="O93" t="str">
        <f>TRIM(PROPER(Raw_data[[#This Row],[Refund_Issued]]))</f>
        <v>No</v>
      </c>
      <c r="P93">
        <f>Raw_data[[#This Row],[Engagement_Score]]</f>
        <v>0</v>
      </c>
      <c r="Q93">
        <f>Raw_data[[#This Row],[Videos_Watched]]</f>
        <v>40</v>
      </c>
      <c r="R93" t="str">
        <f>TRIM(PROPER(Raw_data[[#This Row],[Assignments_Completed]]))</f>
        <v>No</v>
      </c>
      <c r="S93">
        <f>Raw_data[[#This Row],[Days_Inactive]]</f>
        <v>0</v>
      </c>
      <c r="T93">
        <f>Studentdata[[#This Row],[Course price]]-Studentdata[[#This Row],[Amount paid]]</f>
        <v>500</v>
      </c>
    </row>
    <row r="94" spans="1:20" x14ac:dyDescent="0.3">
      <c r="A94">
        <v>93</v>
      </c>
      <c r="B94" t="str">
        <f>Raw_data[[#This Row],[Student_ID]]</f>
        <v>S1108</v>
      </c>
      <c r="C94" t="str">
        <f>TRIM(PROPER(Raw_data[[#This Row],[Student_Name]]))</f>
        <v>Prashant Jain</v>
      </c>
      <c r="D94">
        <f>Raw_data[[#This Row],[Age]]</f>
        <v>29</v>
      </c>
      <c r="E94" t="str">
        <f>TRIM(PROPER(Raw_data[[#This Row],[Gender]]))</f>
        <v>Male</v>
      </c>
      <c r="F94" t="str">
        <f>TRIM(PROPER(Raw_data[[#This Row],[City]]))</f>
        <v>Jaipur</v>
      </c>
      <c r="G94" t="str">
        <f>TRIM(PROPER(Raw_data[[#This Row],[Course_Name]]))</f>
        <v>Sql Mastery</v>
      </c>
      <c r="H94" t="str">
        <f>TRIM(PROPER(Raw_data[[#This Row],[Course_Category]]))</f>
        <v>Analytics</v>
      </c>
      <c r="I94" s="1">
        <f>Raw_data[[#This Row],[Enrollment_Date]]</f>
        <v>45418</v>
      </c>
      <c r="J94" s="1">
        <f>Raw_data[[#This Row],[Last_Login_Date]]</f>
        <v>45299</v>
      </c>
      <c r="K94">
        <f>Raw_data[[#This Row],[Course_Price]]</f>
        <v>7000</v>
      </c>
      <c r="L94">
        <f>Raw_data[[#This Row],[Discount_Applied]]</f>
        <v>500</v>
      </c>
      <c r="M94">
        <f>Raw_data[[#This Row],[Amount_Paid]]</f>
        <v>6500</v>
      </c>
      <c r="N94" t="str">
        <f>TRIM(PROPER(Raw_data[[#This Row],[Completion_Status]]))</f>
        <v>Churned</v>
      </c>
      <c r="O94" t="str">
        <f>TRIM(PROPER(Raw_data[[#This Row],[Refund_Issued]]))</f>
        <v>No</v>
      </c>
      <c r="P94">
        <f>Raw_data[[#This Row],[Engagement_Score]]</f>
        <v>2</v>
      </c>
      <c r="Q94">
        <f>Raw_data[[#This Row],[Videos_Watched]]</f>
        <v>7</v>
      </c>
      <c r="R94" t="str">
        <f>TRIM(PROPER(Raw_data[[#This Row],[Assignments_Completed]]))</f>
        <v>Yes</v>
      </c>
      <c r="S94">
        <f>Raw_data[[#This Row],[Days_Inactive]]</f>
        <v>70</v>
      </c>
      <c r="T94">
        <f>Studentdata[[#This Row],[Course price]]-Studentdata[[#This Row],[Amount paid]]</f>
        <v>500</v>
      </c>
    </row>
    <row r="95" spans="1:20" x14ac:dyDescent="0.3">
      <c r="A95">
        <v>94</v>
      </c>
      <c r="B95" t="str">
        <f>Raw_data[[#This Row],[Student_ID]]</f>
        <v>S1054</v>
      </c>
      <c r="C95" t="str">
        <f>TRIM(PROPER(Raw_data[[#This Row],[Student_Name]]))</f>
        <v>Preeti Yadav</v>
      </c>
      <c r="D95">
        <f>Raw_data[[#This Row],[Age]]</f>
        <v>27</v>
      </c>
      <c r="E95" t="str">
        <f>TRIM(PROPER(Raw_data[[#This Row],[Gender]]))</f>
        <v>Female</v>
      </c>
      <c r="F95" t="str">
        <f>TRIM(PROPER(Raw_data[[#This Row],[City]]))</f>
        <v>Ahmedabad</v>
      </c>
      <c r="G95" t="str">
        <f>TRIM(PROPER(Raw_data[[#This Row],[Course_Name]]))</f>
        <v>Advanced Excel</v>
      </c>
      <c r="H95" t="str">
        <f>TRIM(PROPER(Raw_data[[#This Row],[Course_Category]]))</f>
        <v>Productivity</v>
      </c>
      <c r="I95" s="1">
        <f>Raw_data[[#This Row],[Enrollment_Date]]</f>
        <v>45407</v>
      </c>
      <c r="J95" s="1">
        <f>Raw_data[[#This Row],[Last_Login_Date]]</f>
        <v>44986</v>
      </c>
      <c r="K95">
        <f>Raw_data[[#This Row],[Course_Price]]</f>
        <v>6000</v>
      </c>
      <c r="L95">
        <f>Raw_data[[#This Row],[Discount_Applied]]</f>
        <v>0</v>
      </c>
      <c r="M95">
        <f>Raw_data[[#This Row],[Amount_Paid]]</f>
        <v>6000</v>
      </c>
      <c r="N95" t="str">
        <f>TRIM(PROPER(Raw_data[[#This Row],[Completion_Status]]))</f>
        <v>Completed</v>
      </c>
      <c r="O95" t="str">
        <f>TRIM(PROPER(Raw_data[[#This Row],[Refund_Issued]]))</f>
        <v>Yes</v>
      </c>
      <c r="P95">
        <f>Raw_data[[#This Row],[Engagement_Score]]</f>
        <v>0</v>
      </c>
      <c r="Q95">
        <f>Raw_data[[#This Row],[Videos_Watched]]</f>
        <v>34</v>
      </c>
      <c r="R95" t="str">
        <f>TRIM(PROPER(Raw_data[[#This Row],[Assignments_Completed]]))</f>
        <v>Yes</v>
      </c>
      <c r="S95">
        <f>Raw_data[[#This Row],[Days_Inactive]]</f>
        <v>47</v>
      </c>
      <c r="T95">
        <f>Studentdata[[#This Row],[Course price]]-Studentdata[[#This Row],[Amount paid]]</f>
        <v>0</v>
      </c>
    </row>
    <row r="96" spans="1:20" x14ac:dyDescent="0.3">
      <c r="A96">
        <v>95</v>
      </c>
      <c r="B96" t="str">
        <f>Raw_data[[#This Row],[Student_ID]]</f>
        <v>S1086</v>
      </c>
      <c r="C96" t="str">
        <f>TRIM(PROPER(Raw_data[[#This Row],[Student_Name]]))</f>
        <v>Prince Patel</v>
      </c>
      <c r="D96">
        <f>Raw_data[[#This Row],[Age]]</f>
        <v>29</v>
      </c>
      <c r="E96" t="str">
        <f>TRIM(PROPER(Raw_data[[#This Row],[Gender]]))</f>
        <v>Male</v>
      </c>
      <c r="F96" t="str">
        <f>TRIM(PROPER(Raw_data[[#This Row],[City]]))</f>
        <v>Bangalore</v>
      </c>
      <c r="G96" t="str">
        <f>TRIM(PROPER(Raw_data[[#This Row],[Course_Name]]))</f>
        <v>Digital Marketing Pro</v>
      </c>
      <c r="H96" t="str">
        <f>TRIM(PROPER(Raw_data[[#This Row],[Course_Category]]))</f>
        <v>Marketing</v>
      </c>
      <c r="I96" s="1">
        <f>Raw_data[[#This Row],[Enrollment_Date]]</f>
        <v>45309</v>
      </c>
      <c r="J96" s="1">
        <f>Raw_data[[#This Row],[Last_Login_Date]]</f>
        <v>45325</v>
      </c>
      <c r="K96">
        <f>Raw_data[[#This Row],[Course_Price]]</f>
        <v>6000</v>
      </c>
      <c r="L96">
        <f>Raw_data[[#This Row],[Discount_Applied]]</f>
        <v>1000</v>
      </c>
      <c r="M96">
        <f>Raw_data[[#This Row],[Amount_Paid]]</f>
        <v>5000</v>
      </c>
      <c r="N96" t="str">
        <f>TRIM(PROPER(Raw_data[[#This Row],[Completion_Status]]))</f>
        <v>Completed</v>
      </c>
      <c r="O96" t="str">
        <f>TRIM(PROPER(Raw_data[[#This Row],[Refund_Issued]]))</f>
        <v>No</v>
      </c>
      <c r="P96">
        <f>Raw_data[[#This Row],[Engagement_Score]]</f>
        <v>1</v>
      </c>
      <c r="Q96">
        <f>Raw_data[[#This Row],[Videos_Watched]]</f>
        <v>9</v>
      </c>
      <c r="R96" t="str">
        <f>TRIM(PROPER(Raw_data[[#This Row],[Assignments_Completed]]))</f>
        <v>No</v>
      </c>
      <c r="S96">
        <f>Raw_data[[#This Row],[Days_Inactive]]</f>
        <v>0</v>
      </c>
      <c r="T96">
        <f>Studentdata[[#This Row],[Course price]]-Studentdata[[#This Row],[Amount paid]]</f>
        <v>1000</v>
      </c>
    </row>
    <row r="97" spans="1:20" x14ac:dyDescent="0.3">
      <c r="A97">
        <v>96</v>
      </c>
      <c r="B97" t="str">
        <f>Raw_data[[#This Row],[Student_ID]]</f>
        <v>S1034</v>
      </c>
      <c r="C97" t="str">
        <f>TRIM(PROPER(Raw_data[[#This Row],[Student_Name]]))</f>
        <v>Priya Menon</v>
      </c>
      <c r="D97">
        <f>Raw_data[[#This Row],[Age]]</f>
        <v>24</v>
      </c>
      <c r="E97" t="str">
        <f>TRIM(PROPER(Raw_data[[#This Row],[Gender]]))</f>
        <v>Female</v>
      </c>
      <c r="F97" t="str">
        <f>TRIM(PROPER(Raw_data[[#This Row],[City]]))</f>
        <v>Pune</v>
      </c>
      <c r="G97" t="str">
        <f>TRIM(PROPER(Raw_data[[#This Row],[Course_Name]]))</f>
        <v>Power Bi Complete Guide</v>
      </c>
      <c r="H97" t="str">
        <f>TRIM(PROPER(Raw_data[[#This Row],[Course_Category]]))</f>
        <v>Analytics</v>
      </c>
      <c r="I97" s="1">
        <f>Raw_data[[#This Row],[Enrollment_Date]]</f>
        <v>45576</v>
      </c>
      <c r="J97" s="1">
        <f>Raw_data[[#This Row],[Last_Login_Date]]</f>
        <v>45577</v>
      </c>
      <c r="K97">
        <f>Raw_data[[#This Row],[Course_Price]]</f>
        <v>3000</v>
      </c>
      <c r="L97">
        <f>Raw_data[[#This Row],[Discount_Applied]]</f>
        <v>500</v>
      </c>
      <c r="M97">
        <f>Raw_data[[#This Row],[Amount_Paid]]</f>
        <v>2500</v>
      </c>
      <c r="N97" t="str">
        <f>TRIM(PROPER(Raw_data[[#This Row],[Completion_Status]]))</f>
        <v>Churned</v>
      </c>
      <c r="O97" t="str">
        <f>TRIM(PROPER(Raw_data[[#This Row],[Refund_Issued]]))</f>
        <v>No</v>
      </c>
      <c r="P97">
        <f>Raw_data[[#This Row],[Engagement_Score]]</f>
        <v>8</v>
      </c>
      <c r="Q97">
        <f>Raw_data[[#This Row],[Videos_Watched]]</f>
        <v>44</v>
      </c>
      <c r="R97" t="str">
        <f>TRIM(PROPER(Raw_data[[#This Row],[Assignments_Completed]]))</f>
        <v>No</v>
      </c>
      <c r="S97">
        <f>Raw_data[[#This Row],[Days_Inactive]]</f>
        <v>0</v>
      </c>
      <c r="T97">
        <f>Studentdata[[#This Row],[Course price]]-Studentdata[[#This Row],[Amount paid]]</f>
        <v>500</v>
      </c>
    </row>
    <row r="98" spans="1:20" x14ac:dyDescent="0.3">
      <c r="A98">
        <v>97</v>
      </c>
      <c r="B98" t="str">
        <f>Raw_data[[#This Row],[Student_ID]]</f>
        <v>S1079</v>
      </c>
      <c r="C98" t="str">
        <f>TRIM(PROPER(Raw_data[[#This Row],[Student_Name]]))</f>
        <v>Radhika Agarwal</v>
      </c>
      <c r="D98">
        <f>Raw_data[[#This Row],[Age]]</f>
        <v>21</v>
      </c>
      <c r="E98" t="str">
        <f>TRIM(PROPER(Raw_data[[#This Row],[Gender]]))</f>
        <v>Female</v>
      </c>
      <c r="F98" t="str">
        <f>TRIM(PROPER(Raw_data[[#This Row],[City]]))</f>
        <v>Delhi</v>
      </c>
      <c r="G98" t="str">
        <f>TRIM(PROPER(Raw_data[[#This Row],[Course_Name]]))</f>
        <v>Digital Marketing Pro</v>
      </c>
      <c r="H98" t="str">
        <f>TRIM(PROPER(Raw_data[[#This Row],[Course_Category]]))</f>
        <v>Marketing</v>
      </c>
      <c r="I98" s="1">
        <f>Raw_data[[#This Row],[Enrollment_Date]]</f>
        <v>45648</v>
      </c>
      <c r="J98" s="1">
        <f>Raw_data[[#This Row],[Last_Login_Date]]</f>
        <v>44986</v>
      </c>
      <c r="K98">
        <f>Raw_data[[#This Row],[Course_Price]]</f>
        <v>6000</v>
      </c>
      <c r="L98">
        <f>Raw_data[[#This Row],[Discount_Applied]]</f>
        <v>0</v>
      </c>
      <c r="M98">
        <f>Raw_data[[#This Row],[Amount_Paid]]</f>
        <v>6000</v>
      </c>
      <c r="N98" t="str">
        <f>TRIM(PROPER(Raw_data[[#This Row],[Completion_Status]]))</f>
        <v>Completed</v>
      </c>
      <c r="O98" t="str">
        <f>TRIM(PROPER(Raw_data[[#This Row],[Refund_Issued]]))</f>
        <v>Yes</v>
      </c>
      <c r="P98">
        <f>Raw_data[[#This Row],[Engagement_Score]]</f>
        <v>1</v>
      </c>
      <c r="Q98">
        <f>Raw_data[[#This Row],[Videos_Watched]]</f>
        <v>9</v>
      </c>
      <c r="R98" t="str">
        <f>TRIM(PROPER(Raw_data[[#This Row],[Assignments_Completed]]))</f>
        <v>No</v>
      </c>
      <c r="S98">
        <f>Raw_data[[#This Row],[Days_Inactive]]</f>
        <v>77</v>
      </c>
      <c r="T98">
        <f>Studentdata[[#This Row],[Course price]]-Studentdata[[#This Row],[Amount paid]]</f>
        <v>0</v>
      </c>
    </row>
    <row r="99" spans="1:20" x14ac:dyDescent="0.3">
      <c r="A99">
        <v>98</v>
      </c>
      <c r="B99" t="str">
        <f>Raw_data[[#This Row],[Student_ID]]</f>
        <v>S1041</v>
      </c>
      <c r="C99" t="str">
        <f>TRIM(PROPER(Raw_data[[#This Row],[Student_Name]]))</f>
        <v>Rahul Sharma</v>
      </c>
      <c r="D99">
        <f>Raw_data[[#This Row],[Age]]</f>
        <v>34</v>
      </c>
      <c r="E99" t="str">
        <f>TRIM(PROPER(Raw_data[[#This Row],[Gender]]))</f>
        <v>Male</v>
      </c>
      <c r="F99" t="str">
        <f>TRIM(PROPER(Raw_data[[#This Row],[City]]))</f>
        <v>Mumbai</v>
      </c>
      <c r="G99" t="str">
        <f>TRIM(PROPER(Raw_data[[#This Row],[Course_Name]]))</f>
        <v>Data Analytics Bootcamp</v>
      </c>
      <c r="H99" t="str">
        <f>TRIM(PROPER(Raw_data[[#This Row],[Course_Category]]))</f>
        <v>Analytics</v>
      </c>
      <c r="I99" s="1">
        <f>Raw_data[[#This Row],[Enrollment_Date]]</f>
        <v>45513</v>
      </c>
      <c r="J99" s="1">
        <f>Raw_data[[#This Row],[Last_Login_Date]]</f>
        <v>45607</v>
      </c>
      <c r="K99">
        <f>Raw_data[[#This Row],[Course_Price]]</f>
        <v>3000</v>
      </c>
      <c r="L99">
        <f>Raw_data[[#This Row],[Discount_Applied]]</f>
        <v>0</v>
      </c>
      <c r="M99">
        <f>Raw_data[[#This Row],[Amount_Paid]]</f>
        <v>3000</v>
      </c>
      <c r="N99" t="str">
        <f>TRIM(PROPER(Raw_data[[#This Row],[Completion_Status]]))</f>
        <v>Completed</v>
      </c>
      <c r="O99" t="str">
        <f>TRIM(PROPER(Raw_data[[#This Row],[Refund_Issued]]))</f>
        <v>No</v>
      </c>
      <c r="P99">
        <f>Raw_data[[#This Row],[Engagement_Score]]</f>
        <v>10</v>
      </c>
      <c r="Q99">
        <f>Raw_data[[#This Row],[Videos_Watched]]</f>
        <v>48</v>
      </c>
      <c r="R99" t="str">
        <f>TRIM(PROPER(Raw_data[[#This Row],[Assignments_Completed]]))</f>
        <v>Yes</v>
      </c>
      <c r="S99">
        <f>Raw_data[[#This Row],[Days_Inactive]]</f>
        <v>36</v>
      </c>
      <c r="T99">
        <f>Studentdata[[#This Row],[Course price]]-Studentdata[[#This Row],[Amount paid]]</f>
        <v>0</v>
      </c>
    </row>
    <row r="100" spans="1:20" x14ac:dyDescent="0.3">
      <c r="A100">
        <v>99</v>
      </c>
      <c r="B100" t="str">
        <f>Raw_data[[#This Row],[Student_ID]]</f>
        <v>S1047</v>
      </c>
      <c r="C100" t="str">
        <f>TRIM(PROPER(Raw_data[[#This Row],[Student_Name]]))</f>
        <v>Rajesh Patel</v>
      </c>
      <c r="D100">
        <f>Raw_data[[#This Row],[Age]]</f>
        <v>25</v>
      </c>
      <c r="E100" t="str">
        <f>TRIM(PROPER(Raw_data[[#This Row],[Gender]]))</f>
        <v>Male</v>
      </c>
      <c r="F100" t="str">
        <f>TRIM(PROPER(Raw_data[[#This Row],[City]]))</f>
        <v>Delhi</v>
      </c>
      <c r="G100" t="str">
        <f>TRIM(PROPER(Raw_data[[#This Row],[Course_Name]]))</f>
        <v>Digital Marketing Pro</v>
      </c>
      <c r="H100" t="str">
        <f>TRIM(PROPER(Raw_data[[#This Row],[Course_Category]]))</f>
        <v>Marketing</v>
      </c>
      <c r="I100" s="1">
        <f>Raw_data[[#This Row],[Enrollment_Date]]</f>
        <v>45653</v>
      </c>
      <c r="J100" s="1">
        <f>Raw_data[[#This Row],[Last_Login_Date]]</f>
        <v>44986</v>
      </c>
      <c r="K100">
        <f>Raw_data[[#This Row],[Course_Price]]</f>
        <v>5000</v>
      </c>
      <c r="L100">
        <f>Raw_data[[#This Row],[Discount_Applied]]</f>
        <v>500</v>
      </c>
      <c r="M100">
        <f>Raw_data[[#This Row],[Amount_Paid]]</f>
        <v>4500</v>
      </c>
      <c r="N100" t="str">
        <f>TRIM(PROPER(Raw_data[[#This Row],[Completion_Status]]))</f>
        <v>Churned</v>
      </c>
      <c r="O100" t="str">
        <f>TRIM(PROPER(Raw_data[[#This Row],[Refund_Issued]]))</f>
        <v>Yes</v>
      </c>
      <c r="P100">
        <f>Raw_data[[#This Row],[Engagement_Score]]</f>
        <v>9</v>
      </c>
      <c r="Q100">
        <f>Raw_data[[#This Row],[Videos_Watched]]</f>
        <v>21</v>
      </c>
      <c r="R100" t="str">
        <f>TRIM(PROPER(Raw_data[[#This Row],[Assignments_Completed]]))</f>
        <v>Yes</v>
      </c>
      <c r="S100">
        <f>Raw_data[[#This Row],[Days_Inactive]]</f>
        <v>55</v>
      </c>
      <c r="T100">
        <f>Studentdata[[#This Row],[Course price]]-Studentdata[[#This Row],[Amount paid]]</f>
        <v>500</v>
      </c>
    </row>
    <row r="101" spans="1:20" x14ac:dyDescent="0.3">
      <c r="A101">
        <v>100</v>
      </c>
      <c r="B101" t="str">
        <f>Raw_data[[#This Row],[Student_ID]]</f>
        <v>S1067</v>
      </c>
      <c r="C101" t="str">
        <f>TRIM(PROPER(Raw_data[[#This Row],[Student_Name]]))</f>
        <v>Rakesh Mishra</v>
      </c>
      <c r="D101">
        <f>Raw_data[[#This Row],[Age]]</f>
        <v>19</v>
      </c>
      <c r="E101" t="str">
        <f>TRIM(PROPER(Raw_data[[#This Row],[Gender]]))</f>
        <v>Male</v>
      </c>
      <c r="F101" t="str">
        <f>TRIM(PROPER(Raw_data[[#This Row],[City]]))</f>
        <v>Hyderabad</v>
      </c>
      <c r="G101" t="str">
        <f>TRIM(PROPER(Raw_data[[#This Row],[Course_Name]]))</f>
        <v>Power Bi Complete Guide</v>
      </c>
      <c r="H101" t="str">
        <f>TRIM(PROPER(Raw_data[[#This Row],[Course_Category]]))</f>
        <v>Analytics</v>
      </c>
      <c r="I101" s="1">
        <f>Raw_data[[#This Row],[Enrollment_Date]]</f>
        <v>45440</v>
      </c>
      <c r="J101" s="1">
        <f>Raw_data[[#This Row],[Last_Login_Date]]</f>
        <v>45511</v>
      </c>
      <c r="K101">
        <f>Raw_data[[#This Row],[Course_Price]]</f>
        <v>6000</v>
      </c>
      <c r="L101">
        <f>Raw_data[[#This Row],[Discount_Applied]]</f>
        <v>500</v>
      </c>
      <c r="M101">
        <f>Raw_data[[#This Row],[Amount_Paid]]</f>
        <v>5500</v>
      </c>
      <c r="N101" t="str">
        <f>TRIM(PROPER(Raw_data[[#This Row],[Completion_Status]]))</f>
        <v>Completed</v>
      </c>
      <c r="O101" t="str">
        <f>TRIM(PROPER(Raw_data[[#This Row],[Refund_Issued]]))</f>
        <v>No</v>
      </c>
      <c r="P101">
        <f>Raw_data[[#This Row],[Engagement_Score]]</f>
        <v>9</v>
      </c>
      <c r="Q101">
        <f>Raw_data[[#This Row],[Videos_Watched]]</f>
        <v>14</v>
      </c>
      <c r="R101" t="str">
        <f>TRIM(PROPER(Raw_data[[#This Row],[Assignments_Completed]]))</f>
        <v>No</v>
      </c>
      <c r="S101">
        <f>Raw_data[[#This Row],[Days_Inactive]]</f>
        <v>0</v>
      </c>
      <c r="T101">
        <f>Studentdata[[#This Row],[Course price]]-Studentdata[[#This Row],[Amount paid]]</f>
        <v>500</v>
      </c>
    </row>
    <row r="102" spans="1:20" x14ac:dyDescent="0.3">
      <c r="A102">
        <v>101</v>
      </c>
      <c r="B102" t="str">
        <f>Raw_data[[#This Row],[Student_ID]]</f>
        <v>S1130</v>
      </c>
      <c r="C102" t="str">
        <f>TRIM(PROPER(Raw_data[[#This Row],[Student_Name]]))</f>
        <v>Ramesh Kumar</v>
      </c>
      <c r="D102">
        <f>Raw_data[[#This Row],[Age]]</f>
        <v>30</v>
      </c>
      <c r="E102" t="str">
        <f>TRIM(PROPER(Raw_data[[#This Row],[Gender]]))</f>
        <v>Male</v>
      </c>
      <c r="F102" t="str">
        <f>TRIM(PROPER(Raw_data[[#This Row],[City]]))</f>
        <v>Chandigarh</v>
      </c>
      <c r="G102" t="str">
        <f>TRIM(PROPER(Raw_data[[#This Row],[Course_Name]]))</f>
        <v>Advanced Excel</v>
      </c>
      <c r="H102" t="str">
        <f>TRIM(PROPER(Raw_data[[#This Row],[Course_Category]]))</f>
        <v>Productivity</v>
      </c>
      <c r="I102" s="1">
        <f>Raw_data[[#This Row],[Enrollment_Date]]</f>
        <v>45641</v>
      </c>
      <c r="J102" s="1">
        <f>Raw_data[[#This Row],[Last_Login_Date]]</f>
        <v>45739</v>
      </c>
      <c r="K102">
        <f>Raw_data[[#This Row],[Course_Price]]</f>
        <v>5000</v>
      </c>
      <c r="L102">
        <f>Raw_data[[#This Row],[Discount_Applied]]</f>
        <v>500</v>
      </c>
      <c r="M102">
        <f>Raw_data[[#This Row],[Amount_Paid]]</f>
        <v>4500</v>
      </c>
      <c r="N102" t="str">
        <f>TRIM(PROPER(Raw_data[[#This Row],[Completion_Status]]))</f>
        <v>Churned</v>
      </c>
      <c r="O102" t="str">
        <f>TRIM(PROPER(Raw_data[[#This Row],[Refund_Issued]]))</f>
        <v>No</v>
      </c>
      <c r="P102">
        <f>Raw_data[[#This Row],[Engagement_Score]]</f>
        <v>5</v>
      </c>
      <c r="Q102">
        <f>Raw_data[[#This Row],[Videos_Watched]]</f>
        <v>4</v>
      </c>
      <c r="R102" t="str">
        <f>TRIM(PROPER(Raw_data[[#This Row],[Assignments_Completed]]))</f>
        <v>No</v>
      </c>
      <c r="S102">
        <f>Raw_data[[#This Row],[Days_Inactive]]</f>
        <v>43</v>
      </c>
      <c r="T102">
        <f>Studentdata[[#This Row],[Course price]]-Studentdata[[#This Row],[Amount paid]]</f>
        <v>500</v>
      </c>
    </row>
    <row r="103" spans="1:20" x14ac:dyDescent="0.3">
      <c r="A103">
        <v>102</v>
      </c>
      <c r="B103" t="str">
        <f>Raw_data[[#This Row],[Student_ID]]</f>
        <v>S1122</v>
      </c>
      <c r="C103" t="str">
        <f>TRIM(PROPER(Raw_data[[#This Row],[Student_Name]]))</f>
        <v>Ravi Kant</v>
      </c>
      <c r="D103">
        <f>Raw_data[[#This Row],[Age]]</f>
        <v>20</v>
      </c>
      <c r="E103" t="str">
        <f>TRIM(PROPER(Raw_data[[#This Row],[Gender]]))</f>
        <v>Male</v>
      </c>
      <c r="F103" t="str">
        <f>TRIM(PROPER(Raw_data[[#This Row],[City]]))</f>
        <v>Kolkata</v>
      </c>
      <c r="G103" t="str">
        <f>TRIM(PROPER(Raw_data[[#This Row],[Course_Name]]))</f>
        <v>Digital Marketing Pro</v>
      </c>
      <c r="H103" t="str">
        <f>TRIM(PROPER(Raw_data[[#This Row],[Course_Category]]))</f>
        <v>Marketing</v>
      </c>
      <c r="I103" s="1">
        <f>Raw_data[[#This Row],[Enrollment_Date]]</f>
        <v>45320</v>
      </c>
      <c r="J103" s="1">
        <f>Raw_data[[#This Row],[Last_Login_Date]]</f>
        <v>45401</v>
      </c>
      <c r="K103">
        <f>Raw_data[[#This Row],[Course_Price]]</f>
        <v>3000</v>
      </c>
      <c r="L103">
        <f>Raw_data[[#This Row],[Discount_Applied]]</f>
        <v>500</v>
      </c>
      <c r="M103">
        <f>Raw_data[[#This Row],[Amount_Paid]]</f>
        <v>2500</v>
      </c>
      <c r="N103" t="str">
        <f>TRIM(PROPER(Raw_data[[#This Row],[Completion_Status]]))</f>
        <v>Churned</v>
      </c>
      <c r="O103" t="str">
        <f>TRIM(PROPER(Raw_data[[#This Row],[Refund_Issued]]))</f>
        <v>No</v>
      </c>
      <c r="P103">
        <f>Raw_data[[#This Row],[Engagement_Score]]</f>
        <v>6</v>
      </c>
      <c r="Q103">
        <f>Raw_data[[#This Row],[Videos_Watched]]</f>
        <v>33</v>
      </c>
      <c r="R103" t="str">
        <f>TRIM(PROPER(Raw_data[[#This Row],[Assignments_Completed]]))</f>
        <v>Yes</v>
      </c>
      <c r="S103">
        <f>Raw_data[[#This Row],[Days_Inactive]]</f>
        <v>27</v>
      </c>
      <c r="T103">
        <f>Studentdata[[#This Row],[Course price]]-Studentdata[[#This Row],[Amount paid]]</f>
        <v>500</v>
      </c>
    </row>
    <row r="104" spans="1:20" x14ac:dyDescent="0.3">
      <c r="A104">
        <v>103</v>
      </c>
      <c r="B104" t="str">
        <f>Raw_data[[#This Row],[Student_ID]]</f>
        <v>S1100</v>
      </c>
      <c r="C104" t="str">
        <f>TRIM(PROPER(Raw_data[[#This Row],[Student_Name]]))</f>
        <v>Reena Sharma</v>
      </c>
      <c r="D104">
        <f>Raw_data[[#This Row],[Age]]</f>
        <v>34</v>
      </c>
      <c r="E104" t="str">
        <f>TRIM(PROPER(Raw_data[[#This Row],[Gender]]))</f>
        <v>Female</v>
      </c>
      <c r="F104" t="str">
        <f>TRIM(PROPER(Raw_data[[#This Row],[City]]))</f>
        <v>Delhi</v>
      </c>
      <c r="G104" t="str">
        <f>TRIM(PROPER(Raw_data[[#This Row],[Course_Name]]))</f>
        <v>Advanced Excel</v>
      </c>
      <c r="H104" t="str">
        <f>TRIM(PROPER(Raw_data[[#This Row],[Course_Category]]))</f>
        <v>Productivity</v>
      </c>
      <c r="I104" s="1">
        <f>Raw_data[[#This Row],[Enrollment_Date]]</f>
        <v>45557</v>
      </c>
      <c r="J104" s="1">
        <f>Raw_data[[#This Row],[Last_Login_Date]]</f>
        <v>45583</v>
      </c>
      <c r="K104">
        <f>Raw_data[[#This Row],[Course_Price]]</f>
        <v>5000</v>
      </c>
      <c r="L104">
        <f>Raw_data[[#This Row],[Discount_Applied]]</f>
        <v>500</v>
      </c>
      <c r="M104">
        <f>Raw_data[[#This Row],[Amount_Paid]]</f>
        <v>4500</v>
      </c>
      <c r="N104" t="str">
        <f>TRIM(PROPER(Raw_data[[#This Row],[Completion_Status]]))</f>
        <v>Churned</v>
      </c>
      <c r="O104" t="str">
        <f>TRIM(PROPER(Raw_data[[#This Row],[Refund_Issued]]))</f>
        <v>No</v>
      </c>
      <c r="P104">
        <f>Raw_data[[#This Row],[Engagement_Score]]</f>
        <v>0</v>
      </c>
      <c r="Q104">
        <f>Raw_data[[#This Row],[Videos_Watched]]</f>
        <v>34</v>
      </c>
      <c r="R104" t="str">
        <f>TRIM(PROPER(Raw_data[[#This Row],[Assignments_Completed]]))</f>
        <v>Yes</v>
      </c>
      <c r="S104">
        <f>Raw_data[[#This Row],[Days_Inactive]]</f>
        <v>45</v>
      </c>
      <c r="T104">
        <f>Studentdata[[#This Row],[Course price]]-Studentdata[[#This Row],[Amount paid]]</f>
        <v>500</v>
      </c>
    </row>
    <row r="105" spans="1:20" x14ac:dyDescent="0.3">
      <c r="A105">
        <v>104</v>
      </c>
      <c r="B105" t="str">
        <f>Raw_data[[#This Row],[Student_ID]]</f>
        <v>S1093</v>
      </c>
      <c r="C105" t="str">
        <f>TRIM(PROPER(Raw_data[[#This Row],[Student_Name]]))</f>
        <v>Rekha Gupta</v>
      </c>
      <c r="D105">
        <f>Raw_data[[#This Row],[Age]]</f>
        <v>32</v>
      </c>
      <c r="E105" t="str">
        <f>TRIM(PROPER(Raw_data[[#This Row],[Gender]]))</f>
        <v>Female</v>
      </c>
      <c r="F105" t="str">
        <f>TRIM(PROPER(Raw_data[[#This Row],[City]]))</f>
        <v>Ahmedabad</v>
      </c>
      <c r="G105" t="str">
        <f>TRIM(PROPER(Raw_data[[#This Row],[Course_Name]]))</f>
        <v>Digital Marketing Pro</v>
      </c>
      <c r="H105" t="str">
        <f>TRIM(PROPER(Raw_data[[#This Row],[Course_Category]]))</f>
        <v>Marketing</v>
      </c>
      <c r="I105" s="1">
        <f>Raw_data[[#This Row],[Enrollment_Date]]</f>
        <v>45529</v>
      </c>
      <c r="J105" s="1">
        <f>Raw_data[[#This Row],[Last_Login_Date]]</f>
        <v>45555</v>
      </c>
      <c r="K105">
        <f>Raw_data[[#This Row],[Course_Price]]</f>
        <v>5000</v>
      </c>
      <c r="L105">
        <f>Raw_data[[#This Row],[Discount_Applied]]</f>
        <v>1000</v>
      </c>
      <c r="M105">
        <f>Raw_data[[#This Row],[Amount_Paid]]</f>
        <v>4000</v>
      </c>
      <c r="N105" t="str">
        <f>TRIM(PROPER(Raw_data[[#This Row],[Completion_Status]]))</f>
        <v>Churned</v>
      </c>
      <c r="O105" t="str">
        <f>TRIM(PROPER(Raw_data[[#This Row],[Refund_Issued]]))</f>
        <v>Yes</v>
      </c>
      <c r="P105">
        <f>Raw_data[[#This Row],[Engagement_Score]]</f>
        <v>0</v>
      </c>
      <c r="Q105">
        <f>Raw_data[[#This Row],[Videos_Watched]]</f>
        <v>32</v>
      </c>
      <c r="R105" t="str">
        <f>TRIM(PROPER(Raw_data[[#This Row],[Assignments_Completed]]))</f>
        <v>No</v>
      </c>
      <c r="S105">
        <f>Raw_data[[#This Row],[Days_Inactive]]</f>
        <v>6</v>
      </c>
      <c r="T105">
        <f>Studentdata[[#This Row],[Course price]]-Studentdata[[#This Row],[Amount paid]]</f>
        <v>1000</v>
      </c>
    </row>
    <row r="106" spans="1:20" x14ac:dyDescent="0.3">
      <c r="A106">
        <v>105</v>
      </c>
      <c r="B106" t="str">
        <f>Raw_data[[#This Row],[Student_ID]]</f>
        <v>S1007</v>
      </c>
      <c r="C106" t="str">
        <f>TRIM(PROPER(Raw_data[[#This Row],[Student_Name]]))</f>
        <v>Reyansh Shah</v>
      </c>
      <c r="D106">
        <f>Raw_data[[#This Row],[Age]]</f>
        <v>26</v>
      </c>
      <c r="E106" t="str">
        <f>TRIM(PROPER(Raw_data[[#This Row],[Gender]]))</f>
        <v>Male</v>
      </c>
      <c r="F106" t="str">
        <f>TRIM(PROPER(Raw_data[[#This Row],[City]]))</f>
        <v>Chennai</v>
      </c>
      <c r="G106" t="str">
        <f>TRIM(PROPER(Raw_data[[#This Row],[Course_Name]]))</f>
        <v>Advanced Excel</v>
      </c>
      <c r="H106" t="str">
        <f>TRIM(PROPER(Raw_data[[#This Row],[Course_Category]]))</f>
        <v>Productivity</v>
      </c>
      <c r="I106" s="1">
        <f>Raw_data[[#This Row],[Enrollment_Date]]</f>
        <v>45524</v>
      </c>
      <c r="J106" s="1">
        <f>Raw_data[[#This Row],[Last_Login_Date]]</f>
        <v>45524</v>
      </c>
      <c r="K106">
        <f>Raw_data[[#This Row],[Course_Price]]</f>
        <v>7000</v>
      </c>
      <c r="L106">
        <f>Raw_data[[#This Row],[Discount_Applied]]</f>
        <v>500</v>
      </c>
      <c r="M106">
        <f>Raw_data[[#This Row],[Amount_Paid]]</f>
        <v>6500</v>
      </c>
      <c r="N106" t="str">
        <f>TRIM(PROPER(Raw_data[[#This Row],[Completion_Status]]))</f>
        <v>Churned</v>
      </c>
      <c r="O106" t="str">
        <f>TRIM(PROPER(Raw_data[[#This Row],[Refund_Issued]]))</f>
        <v>Yes</v>
      </c>
      <c r="P106">
        <f>Raw_data[[#This Row],[Engagement_Score]]</f>
        <v>9</v>
      </c>
      <c r="Q106">
        <f>Raw_data[[#This Row],[Videos_Watched]]</f>
        <v>12</v>
      </c>
      <c r="R106" t="str">
        <f>TRIM(PROPER(Raw_data[[#This Row],[Assignments_Completed]]))</f>
        <v>No</v>
      </c>
      <c r="S106">
        <f>Raw_data[[#This Row],[Days_Inactive]]</f>
        <v>20</v>
      </c>
      <c r="T106">
        <f>Studentdata[[#This Row],[Course price]]-Studentdata[[#This Row],[Amount paid]]</f>
        <v>500</v>
      </c>
    </row>
    <row r="107" spans="1:20" x14ac:dyDescent="0.3">
      <c r="A107">
        <v>106</v>
      </c>
      <c r="B107" t="str">
        <f>Raw_data[[#This Row],[Student_ID]]</f>
        <v>S1039</v>
      </c>
      <c r="C107" t="str">
        <f>TRIM(PROPER(Raw_data[[#This Row],[Student_Name]]))</f>
        <v>Ritika Gupta</v>
      </c>
      <c r="D107">
        <f>Raw_data[[#This Row],[Age]]</f>
        <v>26</v>
      </c>
      <c r="E107" t="str">
        <f>TRIM(PROPER(Raw_data[[#This Row],[Gender]]))</f>
        <v>Female</v>
      </c>
      <c r="F107" t="str">
        <f>TRIM(PROPER(Raw_data[[#This Row],[City]]))</f>
        <v>Bangalore</v>
      </c>
      <c r="G107" t="str">
        <f>TRIM(PROPER(Raw_data[[#This Row],[Course_Name]]))</f>
        <v>Excel For Beginners</v>
      </c>
      <c r="H107" t="str">
        <f>TRIM(PROPER(Raw_data[[#This Row],[Course_Category]]))</f>
        <v>Productivity</v>
      </c>
      <c r="I107" s="1">
        <f>Raw_data[[#This Row],[Enrollment_Date]]</f>
        <v>45372</v>
      </c>
      <c r="J107" s="1">
        <f>Raw_data[[#This Row],[Last_Login_Date]]</f>
        <v>44986</v>
      </c>
      <c r="K107">
        <f>Raw_data[[#This Row],[Course_Price]]</f>
        <v>5000</v>
      </c>
      <c r="L107">
        <f>Raw_data[[#This Row],[Discount_Applied]]</f>
        <v>0</v>
      </c>
      <c r="M107">
        <f>Raw_data[[#This Row],[Amount_Paid]]</f>
        <v>5000</v>
      </c>
      <c r="N107" t="str">
        <f>TRIM(PROPER(Raw_data[[#This Row],[Completion_Status]]))</f>
        <v>Churned</v>
      </c>
      <c r="O107" t="str">
        <f>TRIM(PROPER(Raw_data[[#This Row],[Refund_Issued]]))</f>
        <v>Yes</v>
      </c>
      <c r="P107">
        <f>Raw_data[[#This Row],[Engagement_Score]]</f>
        <v>0</v>
      </c>
      <c r="Q107">
        <f>Raw_data[[#This Row],[Videos_Watched]]</f>
        <v>45</v>
      </c>
      <c r="R107" t="str">
        <f>TRIM(PROPER(Raw_data[[#This Row],[Assignments_Completed]]))</f>
        <v>Yes</v>
      </c>
      <c r="S107">
        <f>Raw_data[[#This Row],[Days_Inactive]]</f>
        <v>44</v>
      </c>
      <c r="T107">
        <f>Studentdata[[#This Row],[Course price]]-Studentdata[[#This Row],[Amount paid]]</f>
        <v>0</v>
      </c>
    </row>
    <row r="108" spans="1:20" x14ac:dyDescent="0.3">
      <c r="A108">
        <v>107</v>
      </c>
      <c r="B108" t="str">
        <f>Raw_data[[#This Row],[Student_ID]]</f>
        <v>S1056</v>
      </c>
      <c r="C108" t="str">
        <f>TRIM(PROPER(Raw_data[[#This Row],[Student_Name]]))</f>
        <v>Ritu Patel</v>
      </c>
      <c r="D108">
        <f>Raw_data[[#This Row],[Age]]</f>
        <v>33</v>
      </c>
      <c r="E108" t="str">
        <f>TRIM(PROPER(Raw_data[[#This Row],[Gender]]))</f>
        <v>Female</v>
      </c>
      <c r="F108" t="str">
        <f>TRIM(PROPER(Raw_data[[#This Row],[City]]))</f>
        <v>Jaipur</v>
      </c>
      <c r="G108" t="str">
        <f>TRIM(PROPER(Raw_data[[#This Row],[Course_Name]]))</f>
        <v>Business Analysis Fundamentals</v>
      </c>
      <c r="H108" t="str">
        <f>TRIM(PROPER(Raw_data[[#This Row],[Course_Category]]))</f>
        <v>Analytics</v>
      </c>
      <c r="I108" s="1">
        <f>Raw_data[[#This Row],[Enrollment_Date]]</f>
        <v>45524</v>
      </c>
      <c r="J108" s="1">
        <f>Raw_data[[#This Row],[Last_Login_Date]]</f>
        <v>44986</v>
      </c>
      <c r="K108">
        <f>Raw_data[[#This Row],[Course_Price]]</f>
        <v>7000</v>
      </c>
      <c r="L108">
        <f>Raw_data[[#This Row],[Discount_Applied]]</f>
        <v>500</v>
      </c>
      <c r="M108">
        <f>Raw_data[[#This Row],[Amount_Paid]]</f>
        <v>6500</v>
      </c>
      <c r="N108" t="str">
        <f>TRIM(PROPER(Raw_data[[#This Row],[Completion_Status]]))</f>
        <v>Churned</v>
      </c>
      <c r="O108" t="str">
        <f>TRIM(PROPER(Raw_data[[#This Row],[Refund_Issued]]))</f>
        <v>No</v>
      </c>
      <c r="P108">
        <f>Raw_data[[#This Row],[Engagement_Score]]</f>
        <v>8</v>
      </c>
      <c r="Q108">
        <f>Raw_data[[#This Row],[Videos_Watched]]</f>
        <v>26</v>
      </c>
      <c r="R108" t="str">
        <f>TRIM(PROPER(Raw_data[[#This Row],[Assignments_Completed]]))</f>
        <v>Yes</v>
      </c>
      <c r="S108">
        <f>Raw_data[[#This Row],[Days_Inactive]]</f>
        <v>0</v>
      </c>
      <c r="T108">
        <f>Studentdata[[#This Row],[Course price]]-Studentdata[[#This Row],[Amount paid]]</f>
        <v>500</v>
      </c>
    </row>
    <row r="109" spans="1:20" x14ac:dyDescent="0.3">
      <c r="A109">
        <v>108</v>
      </c>
      <c r="B109" t="str">
        <f>Raw_data[[#This Row],[Student_ID]]</f>
        <v>S1029</v>
      </c>
      <c r="C109" t="str">
        <f>TRIM(PROPER(Raw_data[[#This Row],[Student_Name]]))</f>
        <v>Riya Banerjee</v>
      </c>
      <c r="D109">
        <f>Raw_data[[#This Row],[Age]]</f>
        <v>18</v>
      </c>
      <c r="E109" t="str">
        <f>TRIM(PROPER(Raw_data[[#This Row],[Gender]]))</f>
        <v>Female</v>
      </c>
      <c r="F109" t="str">
        <f>TRIM(PROPER(Raw_data[[#This Row],[City]]))</f>
        <v>Chandigarh</v>
      </c>
      <c r="G109" t="str">
        <f>TRIM(PROPER(Raw_data[[#This Row],[Course_Name]]))</f>
        <v>Data Analytics Bootcamp</v>
      </c>
      <c r="H109" t="str">
        <f>TRIM(PROPER(Raw_data[[#This Row],[Course_Category]]))</f>
        <v>Analytics</v>
      </c>
      <c r="I109" s="1">
        <f>Raw_data[[#This Row],[Enrollment_Date]]</f>
        <v>45334</v>
      </c>
      <c r="J109" s="1">
        <f>Raw_data[[#This Row],[Last_Login_Date]]</f>
        <v>45416</v>
      </c>
      <c r="K109">
        <f>Raw_data[[#This Row],[Course_Price]]</f>
        <v>6000</v>
      </c>
      <c r="L109">
        <f>Raw_data[[#This Row],[Discount_Applied]]</f>
        <v>500</v>
      </c>
      <c r="M109">
        <f>Raw_data[[#This Row],[Amount_Paid]]</f>
        <v>5500</v>
      </c>
      <c r="N109" t="str">
        <f>TRIM(PROPER(Raw_data[[#This Row],[Completion_Status]]))</f>
        <v>Completed</v>
      </c>
      <c r="O109" t="str">
        <f>TRIM(PROPER(Raw_data[[#This Row],[Refund_Issued]]))</f>
        <v>Yes</v>
      </c>
      <c r="P109">
        <f>Raw_data[[#This Row],[Engagement_Score]]</f>
        <v>0</v>
      </c>
      <c r="Q109">
        <f>Raw_data[[#This Row],[Videos_Watched]]</f>
        <v>13</v>
      </c>
      <c r="R109" t="str">
        <f>TRIM(PROPER(Raw_data[[#This Row],[Assignments_Completed]]))</f>
        <v>No</v>
      </c>
      <c r="S109">
        <f>Raw_data[[#This Row],[Days_Inactive]]</f>
        <v>0</v>
      </c>
      <c r="T109">
        <f>Studentdata[[#This Row],[Course price]]-Studentdata[[#This Row],[Amount paid]]</f>
        <v>500</v>
      </c>
    </row>
    <row r="110" spans="1:20" x14ac:dyDescent="0.3">
      <c r="A110">
        <v>109</v>
      </c>
      <c r="B110" t="str">
        <f>Raw_data[[#This Row],[Student_ID]]</f>
        <v>S1019</v>
      </c>
      <c r="C110" t="str">
        <f>TRIM(PROPER(Raw_data[[#This Row],[Student_Name]]))</f>
        <v>Rohan Choudhary</v>
      </c>
      <c r="D110">
        <f>Raw_data[[#This Row],[Age]]</f>
        <v>21</v>
      </c>
      <c r="E110" t="str">
        <f>TRIM(PROPER(Raw_data[[#This Row],[Gender]]))</f>
        <v>Male</v>
      </c>
      <c r="F110" t="str">
        <f>TRIM(PROPER(Raw_data[[#This Row],[City]]))</f>
        <v>Kolkata</v>
      </c>
      <c r="G110" t="str">
        <f>TRIM(PROPER(Raw_data[[#This Row],[Course_Name]]))</f>
        <v>Advanced Excel</v>
      </c>
      <c r="H110" t="str">
        <f>TRIM(PROPER(Raw_data[[#This Row],[Course_Category]]))</f>
        <v>Productivity</v>
      </c>
      <c r="I110" s="1">
        <f>Raw_data[[#This Row],[Enrollment_Date]]</f>
        <v>45296</v>
      </c>
      <c r="J110" s="1">
        <f>Raw_data[[#This Row],[Last_Login_Date]]</f>
        <v>45523</v>
      </c>
      <c r="K110">
        <f>Raw_data[[#This Row],[Course_Price]]</f>
        <v>6000</v>
      </c>
      <c r="L110">
        <f>Raw_data[[#This Row],[Discount_Applied]]</f>
        <v>0</v>
      </c>
      <c r="M110">
        <f>Raw_data[[#This Row],[Amount_Paid]]</f>
        <v>6000</v>
      </c>
      <c r="N110" t="str">
        <f>TRIM(PROPER(Raw_data[[#This Row],[Completion_Status]]))</f>
        <v>Completed</v>
      </c>
      <c r="O110" t="str">
        <f>TRIM(PROPER(Raw_data[[#This Row],[Refund_Issued]]))</f>
        <v>No</v>
      </c>
      <c r="P110">
        <f>Raw_data[[#This Row],[Engagement_Score]]</f>
        <v>7</v>
      </c>
      <c r="Q110">
        <f>Raw_data[[#This Row],[Videos_Watched]]</f>
        <v>47</v>
      </c>
      <c r="R110" t="str">
        <f>TRIM(PROPER(Raw_data[[#This Row],[Assignments_Completed]]))</f>
        <v>No</v>
      </c>
      <c r="S110">
        <f>Raw_data[[#This Row],[Days_Inactive]]</f>
        <v>20</v>
      </c>
      <c r="T110">
        <f>Studentdata[[#This Row],[Course price]]-Studentdata[[#This Row],[Amount paid]]</f>
        <v>0</v>
      </c>
    </row>
    <row r="111" spans="1:20" x14ac:dyDescent="0.3">
      <c r="A111">
        <v>110</v>
      </c>
      <c r="B111" t="str">
        <f>Raw_data[[#This Row],[Student_ID]]</f>
        <v>S1087</v>
      </c>
      <c r="C111" t="str">
        <f>TRIM(PROPER(Raw_data[[#This Row],[Student_Name]]))</f>
        <v>Rohit Mishra</v>
      </c>
      <c r="D111">
        <f>Raw_data[[#This Row],[Age]]</f>
        <v>22</v>
      </c>
      <c r="E111" t="str">
        <f>TRIM(PROPER(Raw_data[[#This Row],[Gender]]))</f>
        <v>Male</v>
      </c>
      <c r="F111" t="str">
        <f>TRIM(PROPER(Raw_data[[#This Row],[City]]))</f>
        <v>Pune</v>
      </c>
      <c r="G111" t="str">
        <f>TRIM(PROPER(Raw_data[[#This Row],[Course_Name]]))</f>
        <v>Power Bi Complete Guide</v>
      </c>
      <c r="H111" t="str">
        <f>TRIM(PROPER(Raw_data[[#This Row],[Course_Category]]))</f>
        <v>Analytics</v>
      </c>
      <c r="I111" s="1">
        <f>Raw_data[[#This Row],[Enrollment_Date]]</f>
        <v>45478</v>
      </c>
      <c r="J111" s="1">
        <f>Raw_data[[#This Row],[Last_Login_Date]]</f>
        <v>45433</v>
      </c>
      <c r="K111">
        <f>Raw_data[[#This Row],[Course_Price]]</f>
        <v>6000</v>
      </c>
      <c r="L111">
        <f>Raw_data[[#This Row],[Discount_Applied]]</f>
        <v>0</v>
      </c>
      <c r="M111">
        <f>Raw_data[[#This Row],[Amount_Paid]]</f>
        <v>6000</v>
      </c>
      <c r="N111" t="str">
        <f>TRIM(PROPER(Raw_data[[#This Row],[Completion_Status]]))</f>
        <v>Churned</v>
      </c>
      <c r="O111" t="str">
        <f>TRIM(PROPER(Raw_data[[#This Row],[Refund_Issued]]))</f>
        <v>Yes</v>
      </c>
      <c r="P111">
        <f>Raw_data[[#This Row],[Engagement_Score]]</f>
        <v>0</v>
      </c>
      <c r="Q111">
        <f>Raw_data[[#This Row],[Videos_Watched]]</f>
        <v>45</v>
      </c>
      <c r="R111" t="str">
        <f>TRIM(PROPER(Raw_data[[#This Row],[Assignments_Completed]]))</f>
        <v>No</v>
      </c>
      <c r="S111">
        <f>Raw_data[[#This Row],[Days_Inactive]]</f>
        <v>0</v>
      </c>
      <c r="T111">
        <f>Studentdata[[#This Row],[Course price]]-Studentdata[[#This Row],[Amount paid]]</f>
        <v>0</v>
      </c>
    </row>
    <row r="112" spans="1:20" x14ac:dyDescent="0.3">
      <c r="A112">
        <v>111</v>
      </c>
      <c r="B112" t="str">
        <f>Raw_data[[#This Row],[Student_ID]]</f>
        <v>S1120</v>
      </c>
      <c r="C112" t="str">
        <f>TRIM(PROPER(Raw_data[[#This Row],[Student_Name]]))</f>
        <v>Ruby Sharma</v>
      </c>
      <c r="D112">
        <f>Raw_data[[#This Row],[Age]]</f>
        <v>25</v>
      </c>
      <c r="E112" t="str">
        <f>TRIM(PROPER(Raw_data[[#This Row],[Gender]]))</f>
        <v>Female</v>
      </c>
      <c r="F112" t="str">
        <f>TRIM(PROPER(Raw_data[[#This Row],[City]]))</f>
        <v>Hyderabad</v>
      </c>
      <c r="G112" t="str">
        <f>TRIM(PROPER(Raw_data[[#This Row],[Course_Name]]))</f>
        <v>Digital Marketing Pro</v>
      </c>
      <c r="H112" t="str">
        <f>TRIM(PROPER(Raw_data[[#This Row],[Course_Category]]))</f>
        <v>Marketing</v>
      </c>
      <c r="I112" s="1">
        <f>Raw_data[[#This Row],[Enrollment_Date]]</f>
        <v>45483</v>
      </c>
      <c r="J112" s="1">
        <f>Raw_data[[#This Row],[Last_Login_Date]]</f>
        <v>44986</v>
      </c>
      <c r="K112">
        <f>Raw_data[[#This Row],[Course_Price]]</f>
        <v>5000</v>
      </c>
      <c r="L112">
        <f>Raw_data[[#This Row],[Discount_Applied]]</f>
        <v>500</v>
      </c>
      <c r="M112">
        <f>Raw_data[[#This Row],[Amount_Paid]]</f>
        <v>4500</v>
      </c>
      <c r="N112" t="str">
        <f>TRIM(PROPER(Raw_data[[#This Row],[Completion_Status]]))</f>
        <v>Completed</v>
      </c>
      <c r="O112" t="str">
        <f>TRIM(PROPER(Raw_data[[#This Row],[Refund_Issued]]))</f>
        <v>Yes</v>
      </c>
      <c r="P112">
        <f>Raw_data[[#This Row],[Engagement_Score]]</f>
        <v>0</v>
      </c>
      <c r="Q112">
        <f>Raw_data[[#This Row],[Videos_Watched]]</f>
        <v>0</v>
      </c>
      <c r="R112" t="str">
        <f>TRIM(PROPER(Raw_data[[#This Row],[Assignments_Completed]]))</f>
        <v>Yes</v>
      </c>
      <c r="S112">
        <f>Raw_data[[#This Row],[Days_Inactive]]</f>
        <v>35</v>
      </c>
      <c r="T112">
        <f>Studentdata[[#This Row],[Course price]]-Studentdata[[#This Row],[Amount paid]]</f>
        <v>500</v>
      </c>
    </row>
    <row r="113" spans="1:20" x14ac:dyDescent="0.3">
      <c r="A113">
        <v>112</v>
      </c>
      <c r="B113" t="str">
        <f>Raw_data[[#This Row],[Student_ID]]</f>
        <v>S1014</v>
      </c>
      <c r="C113" t="str">
        <f>TRIM(PROPER(Raw_data[[#This Row],[Student_Name]]))</f>
        <v>Rudra Saxena</v>
      </c>
      <c r="D113">
        <f>Raw_data[[#This Row],[Age]]</f>
        <v>19</v>
      </c>
      <c r="E113" t="str">
        <f>TRIM(PROPER(Raw_data[[#This Row],[Gender]]))</f>
        <v>Male</v>
      </c>
      <c r="F113" t="str">
        <f>TRIM(PROPER(Raw_data[[#This Row],[City]]))</f>
        <v>Mumbai</v>
      </c>
      <c r="G113" t="str">
        <f>TRIM(PROPER(Raw_data[[#This Row],[Course_Name]]))</f>
        <v>Excel For Beginners</v>
      </c>
      <c r="H113" t="str">
        <f>TRIM(PROPER(Raw_data[[#This Row],[Course_Category]]))</f>
        <v>Productivity</v>
      </c>
      <c r="I113" s="1">
        <f>Raw_data[[#This Row],[Enrollment_Date]]</f>
        <v>45608</v>
      </c>
      <c r="J113" s="1">
        <f>Raw_data[[#This Row],[Last_Login_Date]]</f>
        <v>44986</v>
      </c>
      <c r="K113">
        <f>Raw_data[[#This Row],[Course_Price]]</f>
        <v>3000</v>
      </c>
      <c r="L113">
        <f>Raw_data[[#This Row],[Discount_Applied]]</f>
        <v>0</v>
      </c>
      <c r="M113">
        <f>Raw_data[[#This Row],[Amount_Paid]]</f>
        <v>3000</v>
      </c>
      <c r="N113" t="str">
        <f>TRIM(PROPER(Raw_data[[#This Row],[Completion_Status]]))</f>
        <v>Completed</v>
      </c>
      <c r="O113" t="str">
        <f>TRIM(PROPER(Raw_data[[#This Row],[Refund_Issued]]))</f>
        <v>Yes</v>
      </c>
      <c r="P113">
        <f>Raw_data[[#This Row],[Engagement_Score]]</f>
        <v>1</v>
      </c>
      <c r="Q113">
        <f>Raw_data[[#This Row],[Videos_Watched]]</f>
        <v>5</v>
      </c>
      <c r="R113" t="str">
        <f>TRIM(PROPER(Raw_data[[#This Row],[Assignments_Completed]]))</f>
        <v>No</v>
      </c>
      <c r="S113">
        <f>Raw_data[[#This Row],[Days_Inactive]]</f>
        <v>74</v>
      </c>
      <c r="T113">
        <f>Studentdata[[#This Row],[Course price]]-Studentdata[[#This Row],[Amount paid]]</f>
        <v>0</v>
      </c>
    </row>
    <row r="114" spans="1:20" x14ac:dyDescent="0.3">
      <c r="A114">
        <v>113</v>
      </c>
      <c r="B114" t="str">
        <f>Raw_data[[#This Row],[Student_ID]]</f>
        <v>S1143</v>
      </c>
      <c r="C114" t="str">
        <f>TRIM(PROPER(Raw_data[[#This Row],[Student_Name]]))</f>
        <v>Ryan Dsouza</v>
      </c>
      <c r="D114">
        <f>Raw_data[[#This Row],[Age]]</f>
        <v>28</v>
      </c>
      <c r="E114" t="str">
        <f>TRIM(PROPER(Raw_data[[#This Row],[Gender]]))</f>
        <v>Male</v>
      </c>
      <c r="F114" t="str">
        <f>TRIM(PROPER(Raw_data[[#This Row],[City]]))</f>
        <v>Ahmedabad</v>
      </c>
      <c r="G114" t="str">
        <f>TRIM(PROPER(Raw_data[[#This Row],[Course_Name]]))</f>
        <v>Python For Data Science</v>
      </c>
      <c r="H114" t="str">
        <f>TRIM(PROPER(Raw_data[[#This Row],[Course_Category]]))</f>
        <v>Programming</v>
      </c>
      <c r="I114" s="1">
        <f>Raw_data[[#This Row],[Enrollment_Date]]</f>
        <v>45324</v>
      </c>
      <c r="J114" s="1">
        <f>Raw_data[[#This Row],[Last_Login_Date]]</f>
        <v>44986</v>
      </c>
      <c r="K114">
        <f>Raw_data[[#This Row],[Course_Price]]</f>
        <v>4000</v>
      </c>
      <c r="L114">
        <f>Raw_data[[#This Row],[Discount_Applied]]</f>
        <v>500</v>
      </c>
      <c r="M114">
        <f>Raw_data[[#This Row],[Amount_Paid]]</f>
        <v>3500</v>
      </c>
      <c r="N114" t="str">
        <f>TRIM(PROPER(Raw_data[[#This Row],[Completion_Status]]))</f>
        <v>Churned</v>
      </c>
      <c r="O114" t="str">
        <f>TRIM(PROPER(Raw_data[[#This Row],[Refund_Issued]]))</f>
        <v>No</v>
      </c>
      <c r="P114">
        <f>Raw_data[[#This Row],[Engagement_Score]]</f>
        <v>0</v>
      </c>
      <c r="Q114">
        <f>Raw_data[[#This Row],[Videos_Watched]]</f>
        <v>18</v>
      </c>
      <c r="R114" t="str">
        <f>TRIM(PROPER(Raw_data[[#This Row],[Assignments_Completed]]))</f>
        <v>Yes</v>
      </c>
      <c r="S114">
        <f>Raw_data[[#This Row],[Days_Inactive]]</f>
        <v>35</v>
      </c>
      <c r="T114">
        <f>Studentdata[[#This Row],[Course price]]-Studentdata[[#This Row],[Amount paid]]</f>
        <v>500</v>
      </c>
    </row>
    <row r="115" spans="1:20" x14ac:dyDescent="0.3">
      <c r="A115">
        <v>114</v>
      </c>
      <c r="B115" t="str">
        <f>Raw_data[[#This Row],[Student_ID]]</f>
        <v>S1064</v>
      </c>
      <c r="C115" t="str">
        <f>TRIM(PROPER(Raw_data[[#This Row],[Student_Name]]))</f>
        <v>Sachin Yadav</v>
      </c>
      <c r="D115">
        <f>Raw_data[[#This Row],[Age]]</f>
        <v>35</v>
      </c>
      <c r="E115" t="str">
        <f>TRIM(PROPER(Raw_data[[#This Row],[Gender]]))</f>
        <v>Male</v>
      </c>
      <c r="F115" t="str">
        <f>TRIM(PROPER(Raw_data[[#This Row],[City]]))</f>
        <v>Chennai</v>
      </c>
      <c r="G115" t="str">
        <f>TRIM(PROPER(Raw_data[[#This Row],[Course_Name]]))</f>
        <v>Sql Mastery</v>
      </c>
      <c r="H115" t="str">
        <f>TRIM(PROPER(Raw_data[[#This Row],[Course_Category]]))</f>
        <v>Analytics</v>
      </c>
      <c r="I115" s="1">
        <f>Raw_data[[#This Row],[Enrollment_Date]]</f>
        <v>45511</v>
      </c>
      <c r="J115" s="1">
        <f>Raw_data[[#This Row],[Last_Login_Date]]</f>
        <v>45619</v>
      </c>
      <c r="K115">
        <f>Raw_data[[#This Row],[Course_Price]]</f>
        <v>7000</v>
      </c>
      <c r="L115">
        <f>Raw_data[[#This Row],[Discount_Applied]]</f>
        <v>1000</v>
      </c>
      <c r="M115">
        <f>Raw_data[[#This Row],[Amount_Paid]]</f>
        <v>6000</v>
      </c>
      <c r="N115" t="str">
        <f>TRIM(PROPER(Raw_data[[#This Row],[Completion_Status]]))</f>
        <v>Completed</v>
      </c>
      <c r="O115" t="str">
        <f>TRIM(PROPER(Raw_data[[#This Row],[Refund_Issued]]))</f>
        <v>No</v>
      </c>
      <c r="P115">
        <f>Raw_data[[#This Row],[Engagement_Score]]</f>
        <v>0</v>
      </c>
      <c r="Q115">
        <f>Raw_data[[#This Row],[Videos_Watched]]</f>
        <v>22</v>
      </c>
      <c r="R115" t="str">
        <f>TRIM(PROPER(Raw_data[[#This Row],[Assignments_Completed]]))</f>
        <v>Yes</v>
      </c>
      <c r="S115">
        <f>Raw_data[[#This Row],[Days_Inactive]]</f>
        <v>18</v>
      </c>
      <c r="T115">
        <f>Studentdata[[#This Row],[Course price]]-Studentdata[[#This Row],[Amount paid]]</f>
        <v>1000</v>
      </c>
    </row>
    <row r="116" spans="1:20" x14ac:dyDescent="0.3">
      <c r="A116">
        <v>115</v>
      </c>
      <c r="B116" t="str">
        <f>Raw_data[[#This Row],[Student_ID]]</f>
        <v>S1006</v>
      </c>
      <c r="C116" t="str">
        <f>TRIM(PROPER(Raw_data[[#This Row],[Student_Name]]))</f>
        <v>Sai Patel</v>
      </c>
      <c r="D116">
        <f>Raw_data[[#This Row],[Age]]</f>
        <v>22</v>
      </c>
      <c r="E116" t="str">
        <f>TRIM(PROPER(Raw_data[[#This Row],[Gender]]))</f>
        <v>Male</v>
      </c>
      <c r="F116" t="str">
        <f>TRIM(PROPER(Raw_data[[#This Row],[City]]))</f>
        <v>Delhi</v>
      </c>
      <c r="G116" t="str">
        <f>TRIM(PROPER(Raw_data[[#This Row],[Course_Name]]))</f>
        <v>Advanced Excel</v>
      </c>
      <c r="H116" t="str">
        <f>TRIM(PROPER(Raw_data[[#This Row],[Course_Category]]))</f>
        <v>Productivity</v>
      </c>
      <c r="I116" s="1">
        <f>Raw_data[[#This Row],[Enrollment_Date]]</f>
        <v>45613</v>
      </c>
      <c r="J116" s="1">
        <f>Raw_data[[#This Row],[Last_Login_Date]]</f>
        <v>44986</v>
      </c>
      <c r="K116">
        <f>Raw_data[[#This Row],[Course_Price]]</f>
        <v>7000</v>
      </c>
      <c r="L116">
        <f>Raw_data[[#This Row],[Discount_Applied]]</f>
        <v>0</v>
      </c>
      <c r="M116">
        <f>Raw_data[[#This Row],[Amount_Paid]]</f>
        <v>7000</v>
      </c>
      <c r="N116" t="str">
        <f>TRIM(PROPER(Raw_data[[#This Row],[Completion_Status]]))</f>
        <v>Churned</v>
      </c>
      <c r="O116" t="str">
        <f>TRIM(PROPER(Raw_data[[#This Row],[Refund_Issued]]))</f>
        <v>No</v>
      </c>
      <c r="P116">
        <f>Raw_data[[#This Row],[Engagement_Score]]</f>
        <v>8</v>
      </c>
      <c r="Q116">
        <f>Raw_data[[#This Row],[Videos_Watched]]</f>
        <v>16</v>
      </c>
      <c r="R116" t="str">
        <f>TRIM(PROPER(Raw_data[[#This Row],[Assignments_Completed]]))</f>
        <v>No</v>
      </c>
      <c r="S116">
        <f>Raw_data[[#This Row],[Days_Inactive]]</f>
        <v>1</v>
      </c>
      <c r="T116">
        <f>Studentdata[[#This Row],[Course price]]-Studentdata[[#This Row],[Amount paid]]</f>
        <v>0</v>
      </c>
    </row>
    <row r="117" spans="1:20" x14ac:dyDescent="0.3">
      <c r="A117">
        <v>116</v>
      </c>
      <c r="B117" t="str">
        <f>Raw_data[[#This Row],[Student_ID]]</f>
        <v>S1139</v>
      </c>
      <c r="C117" t="str">
        <f>TRIM(PROPER(Raw_data[[#This Row],[Student_Name]]))</f>
        <v>Saif Khan</v>
      </c>
      <c r="D117">
        <f>Raw_data[[#This Row],[Age]]</f>
        <v>32</v>
      </c>
      <c r="E117" t="str">
        <f>TRIM(PROPER(Raw_data[[#This Row],[Gender]]))</f>
        <v>Male</v>
      </c>
      <c r="F117" t="str">
        <f>TRIM(PROPER(Raw_data[[#This Row],[City]]))</f>
        <v>Chandigarh</v>
      </c>
      <c r="G117" t="str">
        <f>TRIM(PROPER(Raw_data[[#This Row],[Course_Name]]))</f>
        <v>Sql Mastery</v>
      </c>
      <c r="H117" t="str">
        <f>TRIM(PROPER(Raw_data[[#This Row],[Course_Category]]))</f>
        <v>Analytics</v>
      </c>
      <c r="I117" s="1">
        <f>Raw_data[[#This Row],[Enrollment_Date]]</f>
        <v>45441</v>
      </c>
      <c r="J117" s="1">
        <f>Raw_data[[#This Row],[Last_Login_Date]]</f>
        <v>45445</v>
      </c>
      <c r="K117">
        <f>Raw_data[[#This Row],[Course_Price]]</f>
        <v>7000</v>
      </c>
      <c r="L117">
        <f>Raw_data[[#This Row],[Discount_Applied]]</f>
        <v>1000</v>
      </c>
      <c r="M117">
        <f>Raw_data[[#This Row],[Amount_Paid]]</f>
        <v>6000</v>
      </c>
      <c r="N117" t="str">
        <f>TRIM(PROPER(Raw_data[[#This Row],[Completion_Status]]))</f>
        <v>Completed</v>
      </c>
      <c r="O117" t="str">
        <f>TRIM(PROPER(Raw_data[[#This Row],[Refund_Issued]]))</f>
        <v>No</v>
      </c>
      <c r="P117">
        <f>Raw_data[[#This Row],[Engagement_Score]]</f>
        <v>8</v>
      </c>
      <c r="Q117">
        <f>Raw_data[[#This Row],[Videos_Watched]]</f>
        <v>32</v>
      </c>
      <c r="R117" t="str">
        <f>TRIM(PROPER(Raw_data[[#This Row],[Assignments_Completed]]))</f>
        <v>Yes</v>
      </c>
      <c r="S117">
        <f>Raw_data[[#This Row],[Days_Inactive]]</f>
        <v>0</v>
      </c>
      <c r="T117">
        <f>Studentdata[[#This Row],[Course price]]-Studentdata[[#This Row],[Amount paid]]</f>
        <v>1000</v>
      </c>
    </row>
    <row r="118" spans="1:20" x14ac:dyDescent="0.3">
      <c r="A118">
        <v>117</v>
      </c>
      <c r="B118" t="str">
        <f>Raw_data[[#This Row],[Student_ID]]</f>
        <v>S1051</v>
      </c>
      <c r="C118" t="str">
        <f>TRIM(PROPER(Raw_data[[#This Row],[Student_Name]]))</f>
        <v>Sakshi Sharma</v>
      </c>
      <c r="D118">
        <f>Raw_data[[#This Row],[Age]]</f>
        <v>20</v>
      </c>
      <c r="E118" t="str">
        <f>TRIM(PROPER(Raw_data[[#This Row],[Gender]]))</f>
        <v>Female</v>
      </c>
      <c r="F118" t="str">
        <f>TRIM(PROPER(Raw_data[[#This Row],[City]]))</f>
        <v>Chandigarh</v>
      </c>
      <c r="G118" t="str">
        <f>TRIM(PROPER(Raw_data[[#This Row],[Course_Name]]))</f>
        <v>Business Analysis Fundamentals</v>
      </c>
      <c r="H118" t="str">
        <f>TRIM(PROPER(Raw_data[[#This Row],[Course_Category]]))</f>
        <v>Analytics</v>
      </c>
      <c r="I118" s="1">
        <f>Raw_data[[#This Row],[Enrollment_Date]]</f>
        <v>45645</v>
      </c>
      <c r="J118" s="1">
        <f>Raw_data[[#This Row],[Last_Login_Date]]</f>
        <v>45677</v>
      </c>
      <c r="K118">
        <f>Raw_data[[#This Row],[Course_Price]]</f>
        <v>4000</v>
      </c>
      <c r="L118">
        <f>Raw_data[[#This Row],[Discount_Applied]]</f>
        <v>500</v>
      </c>
      <c r="M118">
        <f>Raw_data[[#This Row],[Amount_Paid]]</f>
        <v>3500</v>
      </c>
      <c r="N118" t="str">
        <f>TRIM(PROPER(Raw_data[[#This Row],[Completion_Status]]))</f>
        <v>Churned</v>
      </c>
      <c r="O118" t="str">
        <f>TRIM(PROPER(Raw_data[[#This Row],[Refund_Issued]]))</f>
        <v>No</v>
      </c>
      <c r="P118">
        <f>Raw_data[[#This Row],[Engagement_Score]]</f>
        <v>0</v>
      </c>
      <c r="Q118">
        <f>Raw_data[[#This Row],[Videos_Watched]]</f>
        <v>36</v>
      </c>
      <c r="R118" t="str">
        <f>TRIM(PROPER(Raw_data[[#This Row],[Assignments_Completed]]))</f>
        <v>Yes</v>
      </c>
      <c r="S118">
        <f>Raw_data[[#This Row],[Days_Inactive]]</f>
        <v>37</v>
      </c>
      <c r="T118">
        <f>Studentdata[[#This Row],[Course price]]-Studentdata[[#This Row],[Amount paid]]</f>
        <v>500</v>
      </c>
    </row>
    <row r="119" spans="1:20" x14ac:dyDescent="0.3">
      <c r="A119">
        <v>118</v>
      </c>
      <c r="B119" t="str">
        <f>Raw_data[[#This Row],[Student_ID]]</f>
        <v>S1135</v>
      </c>
      <c r="C119" t="str">
        <f>TRIM(PROPER(Raw_data[[#This Row],[Student_Name]]))</f>
        <v>Sameer Khan</v>
      </c>
      <c r="D119">
        <f>Raw_data[[#This Row],[Age]]</f>
        <v>30</v>
      </c>
      <c r="E119" t="str">
        <f>TRIM(PROPER(Raw_data[[#This Row],[Gender]]))</f>
        <v>Male</v>
      </c>
      <c r="F119" t="str">
        <f>TRIM(PROPER(Raw_data[[#This Row],[City]]))</f>
        <v>Kolkata</v>
      </c>
      <c r="G119" t="str">
        <f>TRIM(PROPER(Raw_data[[#This Row],[Course_Name]]))</f>
        <v>Data Analytics Bootcamp</v>
      </c>
      <c r="H119" t="str">
        <f>TRIM(PROPER(Raw_data[[#This Row],[Course_Category]]))</f>
        <v>Analytics</v>
      </c>
      <c r="I119" s="1">
        <f>Raw_data[[#This Row],[Enrollment_Date]]</f>
        <v>45576</v>
      </c>
      <c r="J119" s="1">
        <f>Raw_data[[#This Row],[Last_Login_Date]]</f>
        <v>44986</v>
      </c>
      <c r="K119">
        <f>Raw_data[[#This Row],[Course_Price]]</f>
        <v>7000</v>
      </c>
      <c r="L119">
        <f>Raw_data[[#This Row],[Discount_Applied]]</f>
        <v>500</v>
      </c>
      <c r="M119">
        <f>Raw_data[[#This Row],[Amount_Paid]]</f>
        <v>6500</v>
      </c>
      <c r="N119" t="str">
        <f>TRIM(PROPER(Raw_data[[#This Row],[Completion_Status]]))</f>
        <v>Churned</v>
      </c>
      <c r="O119" t="str">
        <f>TRIM(PROPER(Raw_data[[#This Row],[Refund_Issued]]))</f>
        <v>Yes</v>
      </c>
      <c r="P119">
        <f>Raw_data[[#This Row],[Engagement_Score]]</f>
        <v>0</v>
      </c>
      <c r="Q119">
        <f>Raw_data[[#This Row],[Videos_Watched]]</f>
        <v>48</v>
      </c>
      <c r="R119" t="str">
        <f>TRIM(PROPER(Raw_data[[#This Row],[Assignments_Completed]]))</f>
        <v>Yes</v>
      </c>
      <c r="S119">
        <f>Raw_data[[#This Row],[Days_Inactive]]</f>
        <v>13</v>
      </c>
      <c r="T119">
        <f>Studentdata[[#This Row],[Course price]]-Studentdata[[#This Row],[Amount paid]]</f>
        <v>500</v>
      </c>
    </row>
    <row r="120" spans="1:20" x14ac:dyDescent="0.3">
      <c r="A120">
        <v>119</v>
      </c>
      <c r="B120" t="str">
        <f>Raw_data[[#This Row],[Student_ID]]</f>
        <v>S1148</v>
      </c>
      <c r="C120" t="str">
        <f>TRIM(PROPER(Raw_data[[#This Row],[Student_Name]]))</f>
        <v>Samuel Dsouza</v>
      </c>
      <c r="D120">
        <f>Raw_data[[#This Row],[Age]]</f>
        <v>25</v>
      </c>
      <c r="E120" t="str">
        <f>TRIM(PROPER(Raw_data[[#This Row],[Gender]]))</f>
        <v>Male</v>
      </c>
      <c r="F120" t="str">
        <f>TRIM(PROPER(Raw_data[[#This Row],[City]]))</f>
        <v>Jaipur</v>
      </c>
      <c r="G120" t="str">
        <f>TRIM(PROPER(Raw_data[[#This Row],[Course_Name]]))</f>
        <v>Power Bi Complete Guide</v>
      </c>
      <c r="H120" t="str">
        <f>TRIM(PROPER(Raw_data[[#This Row],[Course_Category]]))</f>
        <v>Analytics</v>
      </c>
      <c r="I120" s="1">
        <f>Raw_data[[#This Row],[Enrollment_Date]]</f>
        <v>45645</v>
      </c>
      <c r="J120" s="1">
        <f>Raw_data[[#This Row],[Last_Login_Date]]</f>
        <v>45648</v>
      </c>
      <c r="K120">
        <f>Raw_data[[#This Row],[Course_Price]]</f>
        <v>4000</v>
      </c>
      <c r="L120">
        <f>Raw_data[[#This Row],[Discount_Applied]]</f>
        <v>0</v>
      </c>
      <c r="M120">
        <f>Raw_data[[#This Row],[Amount_Paid]]</f>
        <v>4000</v>
      </c>
      <c r="N120" t="str">
        <f>TRIM(PROPER(Raw_data[[#This Row],[Completion_Status]]))</f>
        <v>Churned</v>
      </c>
      <c r="O120" t="str">
        <f>TRIM(PROPER(Raw_data[[#This Row],[Refund_Issued]]))</f>
        <v>Yes</v>
      </c>
      <c r="P120">
        <f>Raw_data[[#This Row],[Engagement_Score]]</f>
        <v>0</v>
      </c>
      <c r="Q120">
        <f>Raw_data[[#This Row],[Videos_Watched]]</f>
        <v>41</v>
      </c>
      <c r="R120" t="str">
        <f>TRIM(PROPER(Raw_data[[#This Row],[Assignments_Completed]]))</f>
        <v>Yes</v>
      </c>
      <c r="S120">
        <f>Raw_data[[#This Row],[Days_Inactive]]</f>
        <v>0</v>
      </c>
      <c r="T120">
        <f>Studentdata[[#This Row],[Course price]]-Studentdata[[#This Row],[Amount paid]]</f>
        <v>0</v>
      </c>
    </row>
    <row r="121" spans="1:20" x14ac:dyDescent="0.3">
      <c r="A121">
        <v>120</v>
      </c>
      <c r="B121" t="str">
        <f>Raw_data[[#This Row],[Student_ID]]</f>
        <v>S1045</v>
      </c>
      <c r="C121" t="str">
        <f>TRIM(PROPER(Raw_data[[#This Row],[Student_Name]]))</f>
        <v>Sandeep Yadav</v>
      </c>
      <c r="D121">
        <f>Raw_data[[#This Row],[Age]]</f>
        <v>32</v>
      </c>
      <c r="E121" t="str">
        <f>TRIM(PROPER(Raw_data[[#This Row],[Gender]]))</f>
        <v>Female</v>
      </c>
      <c r="F121" t="str">
        <f>TRIM(PROPER(Raw_data[[#This Row],[City]]))</f>
        <v>Chennai</v>
      </c>
      <c r="G121" t="str">
        <f>TRIM(PROPER(Raw_data[[#This Row],[Course_Name]]))</f>
        <v>Power Bi Complete Guide</v>
      </c>
      <c r="H121" t="str">
        <f>TRIM(PROPER(Raw_data[[#This Row],[Course_Category]]))</f>
        <v>Analytics</v>
      </c>
      <c r="I121" s="1">
        <f>Raw_data[[#This Row],[Enrollment_Date]]</f>
        <v>45504</v>
      </c>
      <c r="J121" s="1">
        <f>Raw_data[[#This Row],[Last_Login_Date]]</f>
        <v>44986</v>
      </c>
      <c r="K121">
        <f>Raw_data[[#This Row],[Course_Price]]</f>
        <v>4000</v>
      </c>
      <c r="L121">
        <f>Raw_data[[#This Row],[Discount_Applied]]</f>
        <v>500</v>
      </c>
      <c r="M121">
        <f>Raw_data[[#This Row],[Amount_Paid]]</f>
        <v>3500</v>
      </c>
      <c r="N121" t="str">
        <f>TRIM(PROPER(Raw_data[[#This Row],[Completion_Status]]))</f>
        <v>Churned</v>
      </c>
      <c r="O121" t="str">
        <f>TRIM(PROPER(Raw_data[[#This Row],[Refund_Issued]]))</f>
        <v>No</v>
      </c>
      <c r="P121">
        <f>Raw_data[[#This Row],[Engagement_Score]]</f>
        <v>4</v>
      </c>
      <c r="Q121">
        <f>Raw_data[[#This Row],[Videos_Watched]]</f>
        <v>32</v>
      </c>
      <c r="R121" t="str">
        <f>TRIM(PROPER(Raw_data[[#This Row],[Assignments_Completed]]))</f>
        <v>No</v>
      </c>
      <c r="S121">
        <f>Raw_data[[#This Row],[Days_Inactive]]</f>
        <v>0</v>
      </c>
      <c r="T121">
        <f>Studentdata[[#This Row],[Course price]]-Studentdata[[#This Row],[Amount paid]]</f>
        <v>500</v>
      </c>
    </row>
    <row r="122" spans="1:20" x14ac:dyDescent="0.3">
      <c r="A122">
        <v>121</v>
      </c>
      <c r="B122" t="str">
        <f>Raw_data[[#This Row],[Student_ID]]</f>
        <v>S1027</v>
      </c>
      <c r="C122" t="str">
        <f>TRIM(PROPER(Raw_data[[#This Row],[Student_Name]]))</f>
        <v>Sara Ali</v>
      </c>
      <c r="D122">
        <f>Raw_data[[#This Row],[Age]]</f>
        <v>35</v>
      </c>
      <c r="E122" t="str">
        <f>TRIM(PROPER(Raw_data[[#This Row],[Gender]]))</f>
        <v>Female</v>
      </c>
      <c r="F122" t="str">
        <f>TRIM(PROPER(Raw_data[[#This Row],[City]]))</f>
        <v>Hyderabad</v>
      </c>
      <c r="G122" t="str">
        <f>TRIM(PROPER(Raw_data[[#This Row],[Course_Name]]))</f>
        <v>Advanced Excel</v>
      </c>
      <c r="H122" t="str">
        <f>TRIM(PROPER(Raw_data[[#This Row],[Course_Category]]))</f>
        <v>Productivity</v>
      </c>
      <c r="I122" s="1">
        <f>Raw_data[[#This Row],[Enrollment_Date]]</f>
        <v>45653</v>
      </c>
      <c r="J122" s="1">
        <f>Raw_data[[#This Row],[Last_Login_Date]]</f>
        <v>44986</v>
      </c>
      <c r="K122">
        <f>Raw_data[[#This Row],[Course_Price]]</f>
        <v>6000</v>
      </c>
      <c r="L122">
        <f>Raw_data[[#This Row],[Discount_Applied]]</f>
        <v>1000</v>
      </c>
      <c r="M122">
        <f>Raw_data[[#This Row],[Amount_Paid]]</f>
        <v>5000</v>
      </c>
      <c r="N122" t="str">
        <f>TRIM(PROPER(Raw_data[[#This Row],[Completion_Status]]))</f>
        <v>Churned</v>
      </c>
      <c r="O122" t="str">
        <f>TRIM(PROPER(Raw_data[[#This Row],[Refund_Issued]]))</f>
        <v>No</v>
      </c>
      <c r="P122">
        <f>Raw_data[[#This Row],[Engagement_Score]]</f>
        <v>7</v>
      </c>
      <c r="Q122">
        <f>Raw_data[[#This Row],[Videos_Watched]]</f>
        <v>26</v>
      </c>
      <c r="R122" t="str">
        <f>TRIM(PROPER(Raw_data[[#This Row],[Assignments_Completed]]))</f>
        <v>No</v>
      </c>
      <c r="S122">
        <f>Raw_data[[#This Row],[Days_Inactive]]</f>
        <v>74</v>
      </c>
      <c r="T122">
        <f>Studentdata[[#This Row],[Course price]]-Studentdata[[#This Row],[Amount paid]]</f>
        <v>1000</v>
      </c>
    </row>
    <row r="123" spans="1:20" x14ac:dyDescent="0.3">
      <c r="A123">
        <v>122</v>
      </c>
      <c r="B123" t="str">
        <f>Raw_data[[#This Row],[Student_ID]]</f>
        <v>S1094</v>
      </c>
      <c r="C123" t="str">
        <f>TRIM(PROPER(Raw_data[[#This Row],[Student_Name]]))</f>
        <v>Seema Yadav</v>
      </c>
      <c r="D123">
        <f>Raw_data[[#This Row],[Age]]</f>
        <v>26</v>
      </c>
      <c r="E123" t="str">
        <f>TRIM(PROPER(Raw_data[[#This Row],[Gender]]))</f>
        <v>Female</v>
      </c>
      <c r="F123" t="str">
        <f>TRIM(PROPER(Raw_data[[#This Row],[City]]))</f>
        <v>Bangalore</v>
      </c>
      <c r="G123" t="str">
        <f>TRIM(PROPER(Raw_data[[#This Row],[Course_Name]]))</f>
        <v>Data Analytics Bootcamp</v>
      </c>
      <c r="H123" t="str">
        <f>TRIM(PROPER(Raw_data[[#This Row],[Course_Category]]))</f>
        <v>Analytics</v>
      </c>
      <c r="I123" s="1">
        <f>Raw_data[[#This Row],[Enrollment_Date]]</f>
        <v>45440</v>
      </c>
      <c r="J123" s="1">
        <f>Raw_data[[#This Row],[Last_Login_Date]]</f>
        <v>44986</v>
      </c>
      <c r="K123">
        <f>Raw_data[[#This Row],[Course_Price]]</f>
        <v>4000</v>
      </c>
      <c r="L123">
        <f>Raw_data[[#This Row],[Discount_Applied]]</f>
        <v>500</v>
      </c>
      <c r="M123">
        <f>Raw_data[[#This Row],[Amount_Paid]]</f>
        <v>3500</v>
      </c>
      <c r="N123" t="str">
        <f>TRIM(PROPER(Raw_data[[#This Row],[Completion_Status]]))</f>
        <v>Churned</v>
      </c>
      <c r="O123" t="str">
        <f>TRIM(PROPER(Raw_data[[#This Row],[Refund_Issued]]))</f>
        <v>Yes</v>
      </c>
      <c r="P123">
        <f>Raw_data[[#This Row],[Engagement_Score]]</f>
        <v>10</v>
      </c>
      <c r="Q123">
        <f>Raw_data[[#This Row],[Videos_Watched]]</f>
        <v>48</v>
      </c>
      <c r="R123" t="str">
        <f>TRIM(PROPER(Raw_data[[#This Row],[Assignments_Completed]]))</f>
        <v>No</v>
      </c>
      <c r="S123">
        <f>Raw_data[[#This Row],[Days_Inactive]]</f>
        <v>0</v>
      </c>
      <c r="T123">
        <f>Studentdata[[#This Row],[Course price]]-Studentdata[[#This Row],[Amount paid]]</f>
        <v>500</v>
      </c>
    </row>
    <row r="124" spans="1:20" x14ac:dyDescent="0.3">
      <c r="A124">
        <v>123</v>
      </c>
      <c r="B124" t="str">
        <f>Raw_data[[#This Row],[Student_ID]]</f>
        <v>S1010</v>
      </c>
      <c r="C124" t="str">
        <f>TRIM(PROPER(Raw_data[[#This Row],[Student_Name]]))</f>
        <v>Shaurya Joshi</v>
      </c>
      <c r="D124">
        <f>Raw_data[[#This Row],[Age]]</f>
        <v>25</v>
      </c>
      <c r="E124" t="str">
        <f>TRIM(PROPER(Raw_data[[#This Row],[Gender]]))</f>
        <v>Male</v>
      </c>
      <c r="F124" t="str">
        <f>TRIM(PROPER(Raw_data[[#This Row],[City]]))</f>
        <v>Delhi</v>
      </c>
      <c r="G124" t="str">
        <f>TRIM(PROPER(Raw_data[[#This Row],[Course_Name]]))</f>
        <v>Excel For Beginners</v>
      </c>
      <c r="H124" t="str">
        <f>TRIM(PROPER(Raw_data[[#This Row],[Course_Category]]))</f>
        <v>Productivity</v>
      </c>
      <c r="I124" s="1">
        <f>Raw_data[[#This Row],[Enrollment_Date]]</f>
        <v>45308</v>
      </c>
      <c r="J124" s="1">
        <f>Raw_data[[#This Row],[Last_Login_Date]]</f>
        <v>45448</v>
      </c>
      <c r="K124">
        <f>Raw_data[[#This Row],[Course_Price]]</f>
        <v>7000</v>
      </c>
      <c r="L124">
        <f>Raw_data[[#This Row],[Discount_Applied]]</f>
        <v>500</v>
      </c>
      <c r="M124">
        <f>Raw_data[[#This Row],[Amount_Paid]]</f>
        <v>6500</v>
      </c>
      <c r="N124" t="str">
        <f>TRIM(PROPER(Raw_data[[#This Row],[Completion_Status]]))</f>
        <v>Completed</v>
      </c>
      <c r="O124" t="str">
        <f>TRIM(PROPER(Raw_data[[#This Row],[Refund_Issued]]))</f>
        <v>No</v>
      </c>
      <c r="P124">
        <f>Raw_data[[#This Row],[Engagement_Score]]</f>
        <v>4</v>
      </c>
      <c r="Q124">
        <f>Raw_data[[#This Row],[Videos_Watched]]</f>
        <v>8</v>
      </c>
      <c r="R124" t="str">
        <f>TRIM(PROPER(Raw_data[[#This Row],[Assignments_Completed]]))</f>
        <v>No</v>
      </c>
      <c r="S124">
        <f>Raw_data[[#This Row],[Days_Inactive]]</f>
        <v>36</v>
      </c>
      <c r="T124">
        <f>Studentdata[[#This Row],[Course price]]-Studentdata[[#This Row],[Amount paid]]</f>
        <v>500</v>
      </c>
    </row>
    <row r="125" spans="1:20" x14ac:dyDescent="0.3">
      <c r="A125">
        <v>124</v>
      </c>
      <c r="B125" t="str">
        <f>Raw_data[[#This Row],[Student_ID]]</f>
        <v>S1112</v>
      </c>
      <c r="C125" t="str">
        <f>TRIM(PROPER(Raw_data[[#This Row],[Student_Name]]))</f>
        <v>Sheetal Singh</v>
      </c>
      <c r="D125">
        <f>Raw_data[[#This Row],[Age]]</f>
        <v>35</v>
      </c>
      <c r="E125" t="str">
        <f>TRIM(PROPER(Raw_data[[#This Row],[Gender]]))</f>
        <v>Female</v>
      </c>
      <c r="F125" t="str">
        <f>TRIM(PROPER(Raw_data[[#This Row],[City]]))</f>
        <v>Hyderabad</v>
      </c>
      <c r="G125" t="str">
        <f>TRIM(PROPER(Raw_data[[#This Row],[Course_Name]]))</f>
        <v>Python For Data Science</v>
      </c>
      <c r="H125" t="str">
        <f>TRIM(PROPER(Raw_data[[#This Row],[Course_Category]]))</f>
        <v>Programming</v>
      </c>
      <c r="I125" s="1">
        <f>Raw_data[[#This Row],[Enrollment_Date]]</f>
        <v>45371</v>
      </c>
      <c r="J125" s="1">
        <f>Raw_data[[#This Row],[Last_Login_Date]]</f>
        <v>45406</v>
      </c>
      <c r="K125">
        <f>Raw_data[[#This Row],[Course_Price]]</f>
        <v>3000</v>
      </c>
      <c r="L125">
        <f>Raw_data[[#This Row],[Discount_Applied]]</f>
        <v>500</v>
      </c>
      <c r="M125">
        <f>Raw_data[[#This Row],[Amount_Paid]]</f>
        <v>2500</v>
      </c>
      <c r="N125" t="str">
        <f>TRIM(PROPER(Raw_data[[#This Row],[Completion_Status]]))</f>
        <v>Churned</v>
      </c>
      <c r="O125" t="str">
        <f>TRIM(PROPER(Raw_data[[#This Row],[Refund_Issued]]))</f>
        <v>Yes</v>
      </c>
      <c r="P125">
        <f>Raw_data[[#This Row],[Engagement_Score]]</f>
        <v>4</v>
      </c>
      <c r="Q125">
        <f>Raw_data[[#This Row],[Videos_Watched]]</f>
        <v>6</v>
      </c>
      <c r="R125" t="str">
        <f>TRIM(PROPER(Raw_data[[#This Row],[Assignments_Completed]]))</f>
        <v>No</v>
      </c>
      <c r="S125">
        <f>Raw_data[[#This Row],[Days_Inactive]]</f>
        <v>57</v>
      </c>
      <c r="T125">
        <f>Studentdata[[#This Row],[Course price]]-Studentdata[[#This Row],[Amount paid]]</f>
        <v>500</v>
      </c>
    </row>
    <row r="126" spans="1:20" x14ac:dyDescent="0.3">
      <c r="A126">
        <v>125</v>
      </c>
      <c r="B126" t="str">
        <f>Raw_data[[#This Row],[Student_ID]]</f>
        <v>S1083</v>
      </c>
      <c r="C126" t="str">
        <f>TRIM(PROPER(Raw_data[[#This Row],[Student_Name]]))</f>
        <v>Shivam Gupta</v>
      </c>
      <c r="D126">
        <f>Raw_data[[#This Row],[Age]]</f>
        <v>19</v>
      </c>
      <c r="E126" t="str">
        <f>TRIM(PROPER(Raw_data[[#This Row],[Gender]]))</f>
        <v>Male</v>
      </c>
      <c r="F126" t="str">
        <f>TRIM(PROPER(Raw_data[[#This Row],[City]]))</f>
        <v>Delhi</v>
      </c>
      <c r="G126" t="str">
        <f>TRIM(PROPER(Raw_data[[#This Row],[Course_Name]]))</f>
        <v>Data Analytics Bootcamp</v>
      </c>
      <c r="H126" t="str">
        <f>TRIM(PROPER(Raw_data[[#This Row],[Course_Category]]))</f>
        <v>Analytics</v>
      </c>
      <c r="I126" s="1">
        <f>Raw_data[[#This Row],[Enrollment_Date]]</f>
        <v>45453</v>
      </c>
      <c r="J126" s="1">
        <f>Raw_data[[#This Row],[Last_Login_Date]]</f>
        <v>44986</v>
      </c>
      <c r="K126">
        <f>Raw_data[[#This Row],[Course_Price]]</f>
        <v>6000</v>
      </c>
      <c r="L126">
        <f>Raw_data[[#This Row],[Discount_Applied]]</f>
        <v>0</v>
      </c>
      <c r="M126">
        <f>Raw_data[[#This Row],[Amount_Paid]]</f>
        <v>6000</v>
      </c>
      <c r="N126" t="str">
        <f>TRIM(PROPER(Raw_data[[#This Row],[Completion_Status]]))</f>
        <v>Churned</v>
      </c>
      <c r="O126" t="str">
        <f>TRIM(PROPER(Raw_data[[#This Row],[Refund_Issued]]))</f>
        <v>Yes</v>
      </c>
      <c r="P126">
        <f>Raw_data[[#This Row],[Engagement_Score]]</f>
        <v>0</v>
      </c>
      <c r="Q126">
        <f>Raw_data[[#This Row],[Videos_Watched]]</f>
        <v>22</v>
      </c>
      <c r="R126" t="str">
        <f>TRIM(PROPER(Raw_data[[#This Row],[Assignments_Completed]]))</f>
        <v>Yes</v>
      </c>
      <c r="S126">
        <f>Raw_data[[#This Row],[Days_Inactive]]</f>
        <v>0</v>
      </c>
      <c r="T126">
        <f>Studentdata[[#This Row],[Course price]]-Studentdata[[#This Row],[Amount paid]]</f>
        <v>0</v>
      </c>
    </row>
    <row r="127" spans="1:20" x14ac:dyDescent="0.3">
      <c r="A127">
        <v>126</v>
      </c>
      <c r="B127" t="str">
        <f>Raw_data[[#This Row],[Student_ID]]</f>
        <v>S1040</v>
      </c>
      <c r="C127" t="str">
        <f>TRIM(PROPER(Raw_data[[#This Row],[Student_Name]]))</f>
        <v>Shreya Iyer</v>
      </c>
      <c r="D127">
        <f>Raw_data[[#This Row],[Age]]</f>
        <v>24</v>
      </c>
      <c r="E127" t="str">
        <f>TRIM(PROPER(Raw_data[[#This Row],[Gender]]))</f>
        <v>Female</v>
      </c>
      <c r="F127" t="str">
        <f>TRIM(PROPER(Raw_data[[#This Row],[City]]))</f>
        <v>Jaipur</v>
      </c>
      <c r="G127" t="str">
        <f>TRIM(PROPER(Raw_data[[#This Row],[Course_Name]]))</f>
        <v>Advanced Excel</v>
      </c>
      <c r="H127" t="str">
        <f>TRIM(PROPER(Raw_data[[#This Row],[Course_Category]]))</f>
        <v>Productivity</v>
      </c>
      <c r="I127" s="1">
        <f>Raw_data[[#This Row],[Enrollment_Date]]</f>
        <v>45428</v>
      </c>
      <c r="J127" s="1">
        <f>Raw_data[[#This Row],[Last_Login_Date]]</f>
        <v>45533</v>
      </c>
      <c r="K127">
        <f>Raw_data[[#This Row],[Course_Price]]</f>
        <v>3000</v>
      </c>
      <c r="L127">
        <f>Raw_data[[#This Row],[Discount_Applied]]</f>
        <v>500</v>
      </c>
      <c r="M127">
        <f>Raw_data[[#This Row],[Amount_Paid]]</f>
        <v>2500</v>
      </c>
      <c r="N127" t="str">
        <f>TRIM(PROPER(Raw_data[[#This Row],[Completion_Status]]))</f>
        <v>Churned</v>
      </c>
      <c r="O127" t="str">
        <f>TRIM(PROPER(Raw_data[[#This Row],[Refund_Issued]]))</f>
        <v>Yes</v>
      </c>
      <c r="P127">
        <f>Raw_data[[#This Row],[Engagement_Score]]</f>
        <v>0</v>
      </c>
      <c r="Q127">
        <f>Raw_data[[#This Row],[Videos_Watched]]</f>
        <v>28</v>
      </c>
      <c r="R127" t="str">
        <f>TRIM(PROPER(Raw_data[[#This Row],[Assignments_Completed]]))</f>
        <v>Yes</v>
      </c>
      <c r="S127">
        <f>Raw_data[[#This Row],[Days_Inactive]]</f>
        <v>0</v>
      </c>
      <c r="T127">
        <f>Studentdata[[#This Row],[Course price]]-Studentdata[[#This Row],[Amount paid]]</f>
        <v>500</v>
      </c>
    </row>
    <row r="128" spans="1:20" x14ac:dyDescent="0.3">
      <c r="A128">
        <v>127</v>
      </c>
      <c r="B128" t="str">
        <f>Raw_data[[#This Row],[Student_ID]]</f>
        <v>S1101</v>
      </c>
      <c r="C128" t="str">
        <f>TRIM(PROPER(Raw_data[[#This Row],[Student_Name]]))</f>
        <v>Siddharth Sharma</v>
      </c>
      <c r="D128">
        <f>Raw_data[[#This Row],[Age]]</f>
        <v>33</v>
      </c>
      <c r="E128" t="str">
        <f>TRIM(PROPER(Raw_data[[#This Row],[Gender]]))</f>
        <v>Male</v>
      </c>
      <c r="F128" t="str">
        <f>TRIM(PROPER(Raw_data[[#This Row],[City]]))</f>
        <v>Jaipur</v>
      </c>
      <c r="G128" t="str">
        <f>TRIM(PROPER(Raw_data[[#This Row],[Course_Name]]))</f>
        <v>Sql Mastery</v>
      </c>
      <c r="H128" t="str">
        <f>TRIM(PROPER(Raw_data[[#This Row],[Course_Category]]))</f>
        <v>Analytics</v>
      </c>
      <c r="I128" s="1">
        <f>Raw_data[[#This Row],[Enrollment_Date]]</f>
        <v>45444</v>
      </c>
      <c r="J128" s="1">
        <f>Raw_data[[#This Row],[Last_Login_Date]]</f>
        <v>45542</v>
      </c>
      <c r="K128">
        <f>Raw_data[[#This Row],[Course_Price]]</f>
        <v>5000</v>
      </c>
      <c r="L128">
        <f>Raw_data[[#This Row],[Discount_Applied]]</f>
        <v>500</v>
      </c>
      <c r="M128">
        <f>Raw_data[[#This Row],[Amount_Paid]]</f>
        <v>4500</v>
      </c>
      <c r="N128" t="str">
        <f>TRIM(PROPER(Raw_data[[#This Row],[Completion_Status]]))</f>
        <v>Completed</v>
      </c>
      <c r="O128" t="str">
        <f>TRIM(PROPER(Raw_data[[#This Row],[Refund_Issued]]))</f>
        <v>No</v>
      </c>
      <c r="P128">
        <f>Raw_data[[#This Row],[Engagement_Score]]</f>
        <v>9</v>
      </c>
      <c r="Q128">
        <f>Raw_data[[#This Row],[Videos_Watched]]</f>
        <v>17</v>
      </c>
      <c r="R128" t="str">
        <f>TRIM(PROPER(Raw_data[[#This Row],[Assignments_Completed]]))</f>
        <v>Yes</v>
      </c>
      <c r="S128">
        <f>Raw_data[[#This Row],[Days_Inactive]]</f>
        <v>73</v>
      </c>
      <c r="T128">
        <f>Studentdata[[#This Row],[Course price]]-Studentdata[[#This Row],[Amount paid]]</f>
        <v>500</v>
      </c>
    </row>
    <row r="129" spans="1:20" x14ac:dyDescent="0.3">
      <c r="A129">
        <v>128</v>
      </c>
      <c r="B129" t="str">
        <f>Raw_data[[#This Row],[Student_ID]]</f>
        <v>S1036</v>
      </c>
      <c r="C129" t="str">
        <f>TRIM(PROPER(Raw_data[[#This Row],[Student_Name]]))</f>
        <v>Simran Kaur</v>
      </c>
      <c r="D129">
        <f>Raw_data[[#This Row],[Age]]</f>
        <v>35</v>
      </c>
      <c r="E129" t="str">
        <f>TRIM(PROPER(Raw_data[[#This Row],[Gender]]))</f>
        <v>Female</v>
      </c>
      <c r="F129" t="str">
        <f>TRIM(PROPER(Raw_data[[#This Row],[City]]))</f>
        <v>Ahmedabad</v>
      </c>
      <c r="G129" t="str">
        <f>TRIM(PROPER(Raw_data[[#This Row],[Course_Name]]))</f>
        <v>Power Bi Complete Guide</v>
      </c>
      <c r="H129" t="str">
        <f>TRIM(PROPER(Raw_data[[#This Row],[Course_Category]]))</f>
        <v>Analytics</v>
      </c>
      <c r="I129" s="1">
        <f>Raw_data[[#This Row],[Enrollment_Date]]</f>
        <v>45343</v>
      </c>
      <c r="J129" s="1">
        <f>Raw_data[[#This Row],[Last_Login_Date]]</f>
        <v>45449</v>
      </c>
      <c r="K129">
        <f>Raw_data[[#This Row],[Course_Price]]</f>
        <v>4000</v>
      </c>
      <c r="L129">
        <f>Raw_data[[#This Row],[Discount_Applied]]</f>
        <v>1000</v>
      </c>
      <c r="M129">
        <f>Raw_data[[#This Row],[Amount_Paid]]</f>
        <v>3000</v>
      </c>
      <c r="N129" t="str">
        <f>TRIM(PROPER(Raw_data[[#This Row],[Completion_Status]]))</f>
        <v>Completed</v>
      </c>
      <c r="O129" t="str">
        <f>TRIM(PROPER(Raw_data[[#This Row],[Refund_Issued]]))</f>
        <v>Yes</v>
      </c>
      <c r="P129">
        <f>Raw_data[[#This Row],[Engagement_Score]]</f>
        <v>1</v>
      </c>
      <c r="Q129">
        <f>Raw_data[[#This Row],[Videos_Watched]]</f>
        <v>17</v>
      </c>
      <c r="R129" t="str">
        <f>TRIM(PROPER(Raw_data[[#This Row],[Assignments_Completed]]))</f>
        <v>Yes</v>
      </c>
      <c r="S129">
        <f>Raw_data[[#This Row],[Days_Inactive]]</f>
        <v>0</v>
      </c>
      <c r="T129">
        <f>Studentdata[[#This Row],[Course price]]-Studentdata[[#This Row],[Amount paid]]</f>
        <v>1000</v>
      </c>
    </row>
    <row r="130" spans="1:20" x14ac:dyDescent="0.3">
      <c r="A130">
        <v>129</v>
      </c>
      <c r="B130" t="str">
        <f>Raw_data[[#This Row],[Student_ID]]</f>
        <v>S1031</v>
      </c>
      <c r="C130" t="str">
        <f>TRIM(PROPER(Raw_data[[#This Row],[Student_Name]]))</f>
        <v>Sneha Kulkarni</v>
      </c>
      <c r="D130">
        <f>Raw_data[[#This Row],[Age]]</f>
        <v>32</v>
      </c>
      <c r="E130" t="str">
        <f>TRIM(PROPER(Raw_data[[#This Row],[Gender]]))</f>
        <v>Female</v>
      </c>
      <c r="F130" t="str">
        <f>TRIM(PROPER(Raw_data[[#This Row],[City]]))</f>
        <v>Bangalore</v>
      </c>
      <c r="G130" t="str">
        <f>TRIM(PROPER(Raw_data[[#This Row],[Course_Name]]))</f>
        <v>Excel For Beginners</v>
      </c>
      <c r="H130" t="str">
        <f>TRIM(PROPER(Raw_data[[#This Row],[Course_Category]]))</f>
        <v>Productivity</v>
      </c>
      <c r="I130" s="1">
        <f>Raw_data[[#This Row],[Enrollment_Date]]</f>
        <v>45375</v>
      </c>
      <c r="J130" s="1">
        <f>Raw_data[[#This Row],[Last_Login_Date]]</f>
        <v>45327</v>
      </c>
      <c r="K130">
        <f>Raw_data[[#This Row],[Course_Price]]</f>
        <v>5000</v>
      </c>
      <c r="L130">
        <f>Raw_data[[#This Row],[Discount_Applied]]</f>
        <v>0</v>
      </c>
      <c r="M130">
        <f>Raw_data[[#This Row],[Amount_Paid]]</f>
        <v>5000</v>
      </c>
      <c r="N130" t="str">
        <f>TRIM(PROPER(Raw_data[[#This Row],[Completion_Status]]))</f>
        <v>Churned</v>
      </c>
      <c r="O130" t="str">
        <f>TRIM(PROPER(Raw_data[[#This Row],[Refund_Issued]]))</f>
        <v>No</v>
      </c>
      <c r="P130">
        <f>Raw_data[[#This Row],[Engagement_Score]]</f>
        <v>7</v>
      </c>
      <c r="Q130">
        <f>Raw_data[[#This Row],[Videos_Watched]]</f>
        <v>37</v>
      </c>
      <c r="R130" t="str">
        <f>TRIM(PROPER(Raw_data[[#This Row],[Assignments_Completed]]))</f>
        <v>No</v>
      </c>
      <c r="S130">
        <f>Raw_data[[#This Row],[Days_Inactive]]</f>
        <v>0</v>
      </c>
      <c r="T130">
        <f>Studentdata[[#This Row],[Course price]]-Studentdata[[#This Row],[Amount paid]]</f>
        <v>0</v>
      </c>
    </row>
    <row r="131" spans="1:20" x14ac:dyDescent="0.3">
      <c r="A131">
        <v>130</v>
      </c>
      <c r="B131" t="str">
        <f>Raw_data[[#This Row],[Student_ID]]</f>
        <v>S1091</v>
      </c>
      <c r="C131" t="str">
        <f>TRIM(PROPER(Raw_data[[#This Row],[Student_Name]]))</f>
        <v>Sonal Sharma</v>
      </c>
      <c r="D131">
        <f>Raw_data[[#This Row],[Age]]</f>
        <v>27</v>
      </c>
      <c r="E131" t="str">
        <f>TRIM(PROPER(Raw_data[[#This Row],[Gender]]))</f>
        <v>Female</v>
      </c>
      <c r="F131" t="str">
        <f>TRIM(PROPER(Raw_data[[#This Row],[City]]))</f>
        <v>Hyderabad</v>
      </c>
      <c r="G131" t="str">
        <f>TRIM(PROPER(Raw_data[[#This Row],[Course_Name]]))</f>
        <v>Power Bi Complete Guide</v>
      </c>
      <c r="H131" t="str">
        <f>TRIM(PROPER(Raw_data[[#This Row],[Course_Category]]))</f>
        <v>Analytics</v>
      </c>
      <c r="I131" s="1">
        <f>Raw_data[[#This Row],[Enrollment_Date]]</f>
        <v>45567</v>
      </c>
      <c r="J131" s="1">
        <f>Raw_data[[#This Row],[Last_Login_Date]]</f>
        <v>45364</v>
      </c>
      <c r="K131">
        <f>Raw_data[[#This Row],[Course_Price]]</f>
        <v>4000</v>
      </c>
      <c r="L131">
        <f>Raw_data[[#This Row],[Discount_Applied]]</f>
        <v>1000</v>
      </c>
      <c r="M131">
        <f>Raw_data[[#This Row],[Amount_Paid]]</f>
        <v>3000</v>
      </c>
      <c r="N131" t="str">
        <f>TRIM(PROPER(Raw_data[[#This Row],[Completion_Status]]))</f>
        <v>Churned</v>
      </c>
      <c r="O131" t="str">
        <f>TRIM(PROPER(Raw_data[[#This Row],[Refund_Issued]]))</f>
        <v>Yes</v>
      </c>
      <c r="P131">
        <f>Raw_data[[#This Row],[Engagement_Score]]</f>
        <v>9</v>
      </c>
      <c r="Q131">
        <f>Raw_data[[#This Row],[Videos_Watched]]</f>
        <v>10</v>
      </c>
      <c r="R131" t="str">
        <f>TRIM(PROPER(Raw_data[[#This Row],[Assignments_Completed]]))</f>
        <v>No</v>
      </c>
      <c r="S131">
        <f>Raw_data[[#This Row],[Days_Inactive]]</f>
        <v>60</v>
      </c>
      <c r="T131">
        <f>Studentdata[[#This Row],[Course price]]-Studentdata[[#This Row],[Amount paid]]</f>
        <v>1000</v>
      </c>
    </row>
    <row r="132" spans="1:20" x14ac:dyDescent="0.3">
      <c r="A132">
        <v>131</v>
      </c>
      <c r="B132" t="str">
        <f>Raw_data[[#This Row],[Student_ID]]</f>
        <v>S1115</v>
      </c>
      <c r="C132" t="str">
        <f>TRIM(PROPER(Raw_data[[#This Row],[Student_Name]]))</f>
        <v>Suman Verma</v>
      </c>
      <c r="D132">
        <f>Raw_data[[#This Row],[Age]]</f>
        <v>35</v>
      </c>
      <c r="E132" t="str">
        <f>TRIM(PROPER(Raw_data[[#This Row],[Gender]]))</f>
        <v>Female</v>
      </c>
      <c r="F132" t="str">
        <f>TRIM(PROPER(Raw_data[[#This Row],[City]]))</f>
        <v>Hyderabad</v>
      </c>
      <c r="G132" t="str">
        <f>TRIM(PROPER(Raw_data[[#This Row],[Course_Name]]))</f>
        <v>Advanced Excel</v>
      </c>
      <c r="H132" t="str">
        <f>TRIM(PROPER(Raw_data[[#This Row],[Course_Category]]))</f>
        <v>Productivity</v>
      </c>
      <c r="I132" s="1">
        <f>Raw_data[[#This Row],[Enrollment_Date]]</f>
        <v>45529</v>
      </c>
      <c r="J132" s="1">
        <f>Raw_data[[#This Row],[Last_Login_Date]]</f>
        <v>44986</v>
      </c>
      <c r="K132">
        <f>Raw_data[[#This Row],[Course_Price]]</f>
        <v>6000</v>
      </c>
      <c r="L132">
        <f>Raw_data[[#This Row],[Discount_Applied]]</f>
        <v>0</v>
      </c>
      <c r="M132">
        <f>Raw_data[[#This Row],[Amount_Paid]]</f>
        <v>6000</v>
      </c>
      <c r="N132" t="str">
        <f>TRIM(PROPER(Raw_data[[#This Row],[Completion_Status]]))</f>
        <v>Churned</v>
      </c>
      <c r="O132" t="str">
        <f>TRIM(PROPER(Raw_data[[#This Row],[Refund_Issued]]))</f>
        <v>No</v>
      </c>
      <c r="P132">
        <f>Raw_data[[#This Row],[Engagement_Score]]</f>
        <v>0</v>
      </c>
      <c r="Q132">
        <f>Raw_data[[#This Row],[Videos_Watched]]</f>
        <v>13</v>
      </c>
      <c r="R132" t="str">
        <f>TRIM(PROPER(Raw_data[[#This Row],[Assignments_Completed]]))</f>
        <v>Yes</v>
      </c>
      <c r="S132">
        <f>Raw_data[[#This Row],[Days_Inactive]]</f>
        <v>0</v>
      </c>
      <c r="T132">
        <f>Studentdata[[#This Row],[Course price]]-Studentdata[[#This Row],[Amount paid]]</f>
        <v>0</v>
      </c>
    </row>
    <row r="133" spans="1:20" x14ac:dyDescent="0.3">
      <c r="A133">
        <v>132</v>
      </c>
      <c r="B133" t="str">
        <f>Raw_data[[#This Row],[Student_ID]]</f>
        <v>S1088</v>
      </c>
      <c r="C133" t="str">
        <f>TRIM(PROPER(Raw_data[[#This Row],[Student_Name]]))</f>
        <v>Sumit Jain</v>
      </c>
      <c r="D133">
        <f>Raw_data[[#This Row],[Age]]</f>
        <v>24</v>
      </c>
      <c r="E133" t="str">
        <f>TRIM(PROPER(Raw_data[[#This Row],[Gender]]))</f>
        <v>Male</v>
      </c>
      <c r="F133" t="str">
        <f>TRIM(PROPER(Raw_data[[#This Row],[City]]))</f>
        <v>Ahmedabad</v>
      </c>
      <c r="G133" t="str">
        <f>TRIM(PROPER(Raw_data[[#This Row],[Course_Name]]))</f>
        <v>Digital Marketing Pro</v>
      </c>
      <c r="H133" t="str">
        <f>TRIM(PROPER(Raw_data[[#This Row],[Course_Category]]))</f>
        <v>Marketing</v>
      </c>
      <c r="I133" s="1">
        <f>Raw_data[[#This Row],[Enrollment_Date]]</f>
        <v>45336</v>
      </c>
      <c r="J133" s="1">
        <f>Raw_data[[#This Row],[Last_Login_Date]]</f>
        <v>45439</v>
      </c>
      <c r="K133">
        <f>Raw_data[[#This Row],[Course_Price]]</f>
        <v>5000</v>
      </c>
      <c r="L133">
        <f>Raw_data[[#This Row],[Discount_Applied]]</f>
        <v>1000</v>
      </c>
      <c r="M133">
        <f>Raw_data[[#This Row],[Amount_Paid]]</f>
        <v>4000</v>
      </c>
      <c r="N133" t="str">
        <f>TRIM(PROPER(Raw_data[[#This Row],[Completion_Status]]))</f>
        <v>Churned</v>
      </c>
      <c r="O133" t="str">
        <f>TRIM(PROPER(Raw_data[[#This Row],[Refund_Issued]]))</f>
        <v>Yes</v>
      </c>
      <c r="P133">
        <f>Raw_data[[#This Row],[Engagement_Score]]</f>
        <v>0</v>
      </c>
      <c r="Q133">
        <f>Raw_data[[#This Row],[Videos_Watched]]</f>
        <v>19</v>
      </c>
      <c r="R133" t="str">
        <f>TRIM(PROPER(Raw_data[[#This Row],[Assignments_Completed]]))</f>
        <v>No</v>
      </c>
      <c r="S133">
        <f>Raw_data[[#This Row],[Days_Inactive]]</f>
        <v>90</v>
      </c>
      <c r="T133">
        <f>Studentdata[[#This Row],[Course price]]-Studentdata[[#This Row],[Amount paid]]</f>
        <v>1000</v>
      </c>
    </row>
    <row r="134" spans="1:20" x14ac:dyDescent="0.3">
      <c r="A134">
        <v>133</v>
      </c>
      <c r="B134" t="str">
        <f>Raw_data[[#This Row],[Student_ID]]</f>
        <v>S1096</v>
      </c>
      <c r="C134" t="str">
        <f>TRIM(PROPER(Raw_data[[#This Row],[Student_Name]]))</f>
        <v>Sunita Patel</v>
      </c>
      <c r="D134">
        <f>Raw_data[[#This Row],[Age]]</f>
        <v>29</v>
      </c>
      <c r="E134" t="str">
        <f>TRIM(PROPER(Raw_data[[#This Row],[Gender]]))</f>
        <v>Female</v>
      </c>
      <c r="F134" t="str">
        <f>TRIM(PROPER(Raw_data[[#This Row],[City]]))</f>
        <v>Delhi</v>
      </c>
      <c r="G134" t="str">
        <f>TRIM(PROPER(Raw_data[[#This Row],[Course_Name]]))</f>
        <v>Data Analytics Bootcamp</v>
      </c>
      <c r="H134" t="str">
        <f>TRIM(PROPER(Raw_data[[#This Row],[Course_Category]]))</f>
        <v>Analytics</v>
      </c>
      <c r="I134" s="1">
        <f>Raw_data[[#This Row],[Enrollment_Date]]</f>
        <v>45583</v>
      </c>
      <c r="J134" s="1">
        <f>Raw_data[[#This Row],[Last_Login_Date]]</f>
        <v>45654</v>
      </c>
      <c r="K134">
        <f>Raw_data[[#This Row],[Course_Price]]</f>
        <v>7000</v>
      </c>
      <c r="L134">
        <f>Raw_data[[#This Row],[Discount_Applied]]</f>
        <v>1000</v>
      </c>
      <c r="M134">
        <f>Raw_data[[#This Row],[Amount_Paid]]</f>
        <v>6000</v>
      </c>
      <c r="N134" t="str">
        <f>TRIM(PROPER(Raw_data[[#This Row],[Completion_Status]]))</f>
        <v>Completed</v>
      </c>
      <c r="O134" t="str">
        <f>TRIM(PROPER(Raw_data[[#This Row],[Refund_Issued]]))</f>
        <v>No</v>
      </c>
      <c r="P134">
        <f>Raw_data[[#This Row],[Engagement_Score]]</f>
        <v>8</v>
      </c>
      <c r="Q134">
        <f>Raw_data[[#This Row],[Videos_Watched]]</f>
        <v>17</v>
      </c>
      <c r="R134" t="str">
        <f>TRIM(PROPER(Raw_data[[#This Row],[Assignments_Completed]]))</f>
        <v>No</v>
      </c>
      <c r="S134">
        <f>Raw_data[[#This Row],[Days_Inactive]]</f>
        <v>43</v>
      </c>
      <c r="T134">
        <f>Studentdata[[#This Row],[Course price]]-Studentdata[[#This Row],[Amount paid]]</f>
        <v>1000</v>
      </c>
    </row>
    <row r="135" spans="1:20" x14ac:dyDescent="0.3">
      <c r="A135">
        <v>134</v>
      </c>
      <c r="B135" t="str">
        <f>Raw_data[[#This Row],[Student_ID]]</f>
        <v>S1123</v>
      </c>
      <c r="C135" t="str">
        <f>TRIM(PROPER(Raw_data[[#This Row],[Student_Name]]))</f>
        <v>Suraj Kumar</v>
      </c>
      <c r="D135">
        <f>Raw_data[[#This Row],[Age]]</f>
        <v>33</v>
      </c>
      <c r="E135" t="str">
        <f>TRIM(PROPER(Raw_data[[#This Row],[Gender]]))</f>
        <v>Male</v>
      </c>
      <c r="F135" t="str">
        <f>TRIM(PROPER(Raw_data[[#This Row],[City]]))</f>
        <v>Chennai</v>
      </c>
      <c r="G135" t="str">
        <f>TRIM(PROPER(Raw_data[[#This Row],[Course_Name]]))</f>
        <v>Data Analytics Bootcamp</v>
      </c>
      <c r="H135" t="str">
        <f>TRIM(PROPER(Raw_data[[#This Row],[Course_Category]]))</f>
        <v>Analytics</v>
      </c>
      <c r="I135" s="1">
        <f>Raw_data[[#This Row],[Enrollment_Date]]</f>
        <v>45383</v>
      </c>
      <c r="J135" s="1">
        <f>Raw_data[[#This Row],[Last_Login_Date]]</f>
        <v>45501</v>
      </c>
      <c r="K135">
        <f>Raw_data[[#This Row],[Course_Price]]</f>
        <v>4000</v>
      </c>
      <c r="L135">
        <f>Raw_data[[#This Row],[Discount_Applied]]</f>
        <v>0</v>
      </c>
      <c r="M135">
        <f>Raw_data[[#This Row],[Amount_Paid]]</f>
        <v>4000</v>
      </c>
      <c r="N135" t="str">
        <f>TRIM(PROPER(Raw_data[[#This Row],[Completion_Status]]))</f>
        <v>Completed</v>
      </c>
      <c r="O135" t="str">
        <f>TRIM(PROPER(Raw_data[[#This Row],[Refund_Issued]]))</f>
        <v>No</v>
      </c>
      <c r="P135">
        <f>Raw_data[[#This Row],[Engagement_Score]]</f>
        <v>0</v>
      </c>
      <c r="Q135">
        <f>Raw_data[[#This Row],[Videos_Watched]]</f>
        <v>10</v>
      </c>
      <c r="R135" t="str">
        <f>TRIM(PROPER(Raw_data[[#This Row],[Assignments_Completed]]))</f>
        <v>No</v>
      </c>
      <c r="S135">
        <f>Raw_data[[#This Row],[Days_Inactive]]</f>
        <v>0</v>
      </c>
      <c r="T135">
        <f>Studentdata[[#This Row],[Course price]]-Studentdata[[#This Row],[Amount paid]]</f>
        <v>0</v>
      </c>
    </row>
    <row r="136" spans="1:20" x14ac:dyDescent="0.3">
      <c r="A136">
        <v>135</v>
      </c>
      <c r="B136" t="str">
        <f>Raw_data[[#This Row],[Student_ID]]</f>
        <v>S1128</v>
      </c>
      <c r="C136" t="str">
        <f>TRIM(PROPER(Raw_data[[#This Row],[Student_Name]]))</f>
        <v>Suresh Kumar</v>
      </c>
      <c r="D136">
        <f>Raw_data[[#This Row],[Age]]</f>
        <v>31</v>
      </c>
      <c r="E136" t="str">
        <f>TRIM(PROPER(Raw_data[[#This Row],[Gender]]))</f>
        <v>Male</v>
      </c>
      <c r="F136" t="str">
        <f>TRIM(PROPER(Raw_data[[#This Row],[City]]))</f>
        <v>Chennai</v>
      </c>
      <c r="G136" t="str">
        <f>TRIM(PROPER(Raw_data[[#This Row],[Course_Name]]))</f>
        <v>Excel For Beginners</v>
      </c>
      <c r="H136" t="str">
        <f>TRIM(PROPER(Raw_data[[#This Row],[Course_Category]]))</f>
        <v>Productivity</v>
      </c>
      <c r="I136" s="1">
        <f>Raw_data[[#This Row],[Enrollment_Date]]</f>
        <v>45358</v>
      </c>
      <c r="J136" s="1">
        <f>Raw_data[[#This Row],[Last_Login_Date]]</f>
        <v>44986</v>
      </c>
      <c r="K136">
        <f>Raw_data[[#This Row],[Course_Price]]</f>
        <v>7000</v>
      </c>
      <c r="L136">
        <f>Raw_data[[#This Row],[Discount_Applied]]</f>
        <v>0</v>
      </c>
      <c r="M136">
        <f>Raw_data[[#This Row],[Amount_Paid]]</f>
        <v>7000</v>
      </c>
      <c r="N136" t="str">
        <f>TRIM(PROPER(Raw_data[[#This Row],[Completion_Status]]))</f>
        <v>Completed</v>
      </c>
      <c r="O136" t="str">
        <f>TRIM(PROPER(Raw_data[[#This Row],[Refund_Issued]]))</f>
        <v>No</v>
      </c>
      <c r="P136">
        <f>Raw_data[[#This Row],[Engagement_Score]]</f>
        <v>0</v>
      </c>
      <c r="Q136">
        <f>Raw_data[[#This Row],[Videos_Watched]]</f>
        <v>0</v>
      </c>
      <c r="R136" t="str">
        <f>TRIM(PROPER(Raw_data[[#This Row],[Assignments_Completed]]))</f>
        <v>No</v>
      </c>
      <c r="S136">
        <f>Raw_data[[#This Row],[Days_Inactive]]</f>
        <v>0</v>
      </c>
      <c r="T136">
        <f>Studentdata[[#This Row],[Course price]]-Studentdata[[#This Row],[Amount paid]]</f>
        <v>0</v>
      </c>
    </row>
    <row r="137" spans="1:20" x14ac:dyDescent="0.3">
      <c r="A137">
        <v>136</v>
      </c>
      <c r="B137" t="str">
        <f>Raw_data[[#This Row],[Student_ID]]</f>
        <v>S1055</v>
      </c>
      <c r="C137" t="str">
        <f>TRIM(PROPER(Raw_data[[#This Row],[Student_Name]]))</f>
        <v>Swati Verma</v>
      </c>
      <c r="D137">
        <f>Raw_data[[#This Row],[Age]]</f>
        <v>30</v>
      </c>
      <c r="E137" t="str">
        <f>TRIM(PROPER(Raw_data[[#This Row],[Gender]]))</f>
        <v>Female</v>
      </c>
      <c r="F137" t="str">
        <f>TRIM(PROPER(Raw_data[[#This Row],[City]]))</f>
        <v>Hyderabad</v>
      </c>
      <c r="G137" t="str">
        <f>TRIM(PROPER(Raw_data[[#This Row],[Course_Name]]))</f>
        <v>Data Analytics Bootcamp</v>
      </c>
      <c r="H137" t="str">
        <f>TRIM(PROPER(Raw_data[[#This Row],[Course_Category]]))</f>
        <v>Analytics</v>
      </c>
      <c r="I137" s="1">
        <f>Raw_data[[#This Row],[Enrollment_Date]]</f>
        <v>45609</v>
      </c>
      <c r="J137" s="1">
        <f>Raw_data[[#This Row],[Last_Login_Date]]</f>
        <v>45722</v>
      </c>
      <c r="K137">
        <f>Raw_data[[#This Row],[Course_Price]]</f>
        <v>7000</v>
      </c>
      <c r="L137">
        <f>Raw_data[[#This Row],[Discount_Applied]]</f>
        <v>500</v>
      </c>
      <c r="M137">
        <f>Raw_data[[#This Row],[Amount_Paid]]</f>
        <v>6500</v>
      </c>
      <c r="N137" t="str">
        <f>TRIM(PROPER(Raw_data[[#This Row],[Completion_Status]]))</f>
        <v>Churned</v>
      </c>
      <c r="O137" t="str">
        <f>TRIM(PROPER(Raw_data[[#This Row],[Refund_Issued]]))</f>
        <v>Yes</v>
      </c>
      <c r="P137">
        <f>Raw_data[[#This Row],[Engagement_Score]]</f>
        <v>5</v>
      </c>
      <c r="Q137">
        <f>Raw_data[[#This Row],[Videos_Watched]]</f>
        <v>26</v>
      </c>
      <c r="R137" t="str">
        <f>TRIM(PROPER(Raw_data[[#This Row],[Assignments_Completed]]))</f>
        <v>Yes</v>
      </c>
      <c r="S137">
        <f>Raw_data[[#This Row],[Days_Inactive]]</f>
        <v>8</v>
      </c>
      <c r="T137">
        <f>Studentdata[[#This Row],[Course price]]-Studentdata[[#This Row],[Amount paid]]</f>
        <v>500</v>
      </c>
    </row>
    <row r="138" spans="1:20" x14ac:dyDescent="0.3">
      <c r="A138">
        <v>137</v>
      </c>
      <c r="B138" t="str">
        <f>Raw_data[[#This Row],[Student_ID]]</f>
        <v>S1038</v>
      </c>
      <c r="C138" t="str">
        <f>TRIM(PROPER(Raw_data[[#This Row],[Student_Name]]))</f>
        <v>Tanvi Desai</v>
      </c>
      <c r="D138">
        <f>Raw_data[[#This Row],[Age]]</f>
        <v>20</v>
      </c>
      <c r="E138" t="str">
        <f>TRIM(PROPER(Raw_data[[#This Row],[Gender]]))</f>
        <v>Female</v>
      </c>
      <c r="F138" t="str">
        <f>TRIM(PROPER(Raw_data[[#This Row],[City]]))</f>
        <v>Kolkata</v>
      </c>
      <c r="G138" t="str">
        <f>TRIM(PROPER(Raw_data[[#This Row],[Course_Name]]))</f>
        <v>Sql Mastery</v>
      </c>
      <c r="H138" t="str">
        <f>TRIM(PROPER(Raw_data[[#This Row],[Course_Category]]))</f>
        <v>Analytics</v>
      </c>
      <c r="I138" s="1">
        <f>Raw_data[[#This Row],[Enrollment_Date]]</f>
        <v>45559</v>
      </c>
      <c r="J138" s="1">
        <f>Raw_data[[#This Row],[Last_Login_Date]]</f>
        <v>44986</v>
      </c>
      <c r="K138">
        <f>Raw_data[[#This Row],[Course_Price]]</f>
        <v>5000</v>
      </c>
      <c r="L138">
        <f>Raw_data[[#This Row],[Discount_Applied]]</f>
        <v>0</v>
      </c>
      <c r="M138">
        <f>Raw_data[[#This Row],[Amount_Paid]]</f>
        <v>5000</v>
      </c>
      <c r="N138" t="str">
        <f>TRIM(PROPER(Raw_data[[#This Row],[Completion_Status]]))</f>
        <v>Churned</v>
      </c>
      <c r="O138" t="str">
        <f>TRIM(PROPER(Raw_data[[#This Row],[Refund_Issued]]))</f>
        <v>Yes</v>
      </c>
      <c r="P138">
        <f>Raw_data[[#This Row],[Engagement_Score]]</f>
        <v>10</v>
      </c>
      <c r="Q138">
        <f>Raw_data[[#This Row],[Videos_Watched]]</f>
        <v>39</v>
      </c>
      <c r="R138" t="str">
        <f>TRIM(PROPER(Raw_data[[#This Row],[Assignments_Completed]]))</f>
        <v>Yes</v>
      </c>
      <c r="S138">
        <f>Raw_data[[#This Row],[Days_Inactive]]</f>
        <v>26</v>
      </c>
      <c r="T138">
        <f>Studentdata[[#This Row],[Course price]]-Studentdata[[#This Row],[Amount paid]]</f>
        <v>0</v>
      </c>
    </row>
    <row r="139" spans="1:20" x14ac:dyDescent="0.3">
      <c r="A139">
        <v>138</v>
      </c>
      <c r="B139" t="str">
        <f>Raw_data[[#This Row],[Student_ID]]</f>
        <v>S1080</v>
      </c>
      <c r="C139" t="str">
        <f>TRIM(PROPER(Raw_data[[#This Row],[Student_Name]]))</f>
        <v>Tanya Sharma</v>
      </c>
      <c r="D139">
        <f>Raw_data[[#This Row],[Age]]</f>
        <v>21</v>
      </c>
      <c r="E139" t="str">
        <f>TRIM(PROPER(Raw_data[[#This Row],[Gender]]))</f>
        <v>Female</v>
      </c>
      <c r="F139" t="str">
        <f>TRIM(PROPER(Raw_data[[#This Row],[City]]))</f>
        <v>Mumbai</v>
      </c>
      <c r="G139" t="str">
        <f>TRIM(PROPER(Raw_data[[#This Row],[Course_Name]]))</f>
        <v>Sql Mastery</v>
      </c>
      <c r="H139" t="str">
        <f>TRIM(PROPER(Raw_data[[#This Row],[Course_Category]]))</f>
        <v>Analytics</v>
      </c>
      <c r="I139" s="1">
        <f>Raw_data[[#This Row],[Enrollment_Date]]</f>
        <v>45506</v>
      </c>
      <c r="J139" s="1">
        <f>Raw_data[[#This Row],[Last_Login_Date]]</f>
        <v>44986</v>
      </c>
      <c r="K139">
        <f>Raw_data[[#This Row],[Course_Price]]</f>
        <v>3000</v>
      </c>
      <c r="L139">
        <f>Raw_data[[#This Row],[Discount_Applied]]</f>
        <v>0</v>
      </c>
      <c r="M139">
        <f>Raw_data[[#This Row],[Amount_Paid]]</f>
        <v>3000</v>
      </c>
      <c r="N139" t="str">
        <f>TRIM(PROPER(Raw_data[[#This Row],[Completion_Status]]))</f>
        <v>Churned</v>
      </c>
      <c r="O139" t="str">
        <f>TRIM(PROPER(Raw_data[[#This Row],[Refund_Issued]]))</f>
        <v>No</v>
      </c>
      <c r="P139">
        <f>Raw_data[[#This Row],[Engagement_Score]]</f>
        <v>10</v>
      </c>
      <c r="Q139">
        <f>Raw_data[[#This Row],[Videos_Watched]]</f>
        <v>40</v>
      </c>
      <c r="R139" t="str">
        <f>TRIM(PROPER(Raw_data[[#This Row],[Assignments_Completed]]))</f>
        <v>No</v>
      </c>
      <c r="S139">
        <f>Raw_data[[#This Row],[Days_Inactive]]</f>
        <v>30</v>
      </c>
      <c r="T139">
        <f>Studentdata[[#This Row],[Course price]]-Studentdata[[#This Row],[Amount paid]]</f>
        <v>0</v>
      </c>
    </row>
    <row r="140" spans="1:20" x14ac:dyDescent="0.3">
      <c r="A140">
        <v>139</v>
      </c>
      <c r="B140" t="str">
        <f>Raw_data[[#This Row],[Student_ID]]</f>
        <v>S1062</v>
      </c>
      <c r="C140" t="str">
        <f>TRIM(PROPER(Raw_data[[#This Row],[Student_Name]]))</f>
        <v>Tarun Singh</v>
      </c>
      <c r="D140">
        <f>Raw_data[[#This Row],[Age]]</f>
        <v>31</v>
      </c>
      <c r="E140" t="str">
        <f>TRIM(PROPER(Raw_data[[#This Row],[Gender]]))</f>
        <v>Male</v>
      </c>
      <c r="F140" t="str">
        <f>TRIM(PROPER(Raw_data[[#This Row],[City]]))</f>
        <v>Kolkata</v>
      </c>
      <c r="G140" t="str">
        <f>TRIM(PROPER(Raw_data[[#This Row],[Course_Name]]))</f>
        <v>Excel For Beginners</v>
      </c>
      <c r="H140" t="str">
        <f>TRIM(PROPER(Raw_data[[#This Row],[Course_Category]]))</f>
        <v>Productivity</v>
      </c>
      <c r="I140" s="1">
        <f>Raw_data[[#This Row],[Enrollment_Date]]</f>
        <v>45452</v>
      </c>
      <c r="J140" s="1">
        <f>Raw_data[[#This Row],[Last_Login_Date]]</f>
        <v>45506</v>
      </c>
      <c r="K140">
        <f>Raw_data[[#This Row],[Course_Price]]</f>
        <v>5000</v>
      </c>
      <c r="L140">
        <f>Raw_data[[#This Row],[Discount_Applied]]</f>
        <v>500</v>
      </c>
      <c r="M140">
        <f>Raw_data[[#This Row],[Amount_Paid]]</f>
        <v>4500</v>
      </c>
      <c r="N140" t="str">
        <f>TRIM(PROPER(Raw_data[[#This Row],[Completion_Status]]))</f>
        <v>Churned</v>
      </c>
      <c r="O140" t="str">
        <f>TRIM(PROPER(Raw_data[[#This Row],[Refund_Issued]]))</f>
        <v>No</v>
      </c>
      <c r="P140">
        <f>Raw_data[[#This Row],[Engagement_Score]]</f>
        <v>2</v>
      </c>
      <c r="Q140">
        <f>Raw_data[[#This Row],[Videos_Watched]]</f>
        <v>5</v>
      </c>
      <c r="R140" t="str">
        <f>TRIM(PROPER(Raw_data[[#This Row],[Assignments_Completed]]))</f>
        <v>No</v>
      </c>
      <c r="S140">
        <f>Raw_data[[#This Row],[Days_Inactive]]</f>
        <v>6</v>
      </c>
      <c r="T140">
        <f>Studentdata[[#This Row],[Course price]]-Studentdata[[#This Row],[Amount paid]]</f>
        <v>500</v>
      </c>
    </row>
    <row r="141" spans="1:20" x14ac:dyDescent="0.3">
      <c r="A141">
        <v>140</v>
      </c>
      <c r="B141" t="str">
        <f>Raw_data[[#This Row],[Student_ID]]</f>
        <v>S1084</v>
      </c>
      <c r="C141" t="str">
        <f>TRIM(PROPER(Raw_data[[#This Row],[Student_Name]]))</f>
        <v>Uday Yadav</v>
      </c>
      <c r="D141">
        <f>Raw_data[[#This Row],[Age]]</f>
        <v>29</v>
      </c>
      <c r="E141" t="str">
        <f>TRIM(PROPER(Raw_data[[#This Row],[Gender]]))</f>
        <v>Male</v>
      </c>
      <c r="F141" t="str">
        <f>TRIM(PROPER(Raw_data[[#This Row],[City]]))</f>
        <v>Ahmedabad</v>
      </c>
      <c r="G141" t="str">
        <f>TRIM(PROPER(Raw_data[[#This Row],[Course_Name]]))</f>
        <v>Python For Data Science</v>
      </c>
      <c r="H141" t="str">
        <f>TRIM(PROPER(Raw_data[[#This Row],[Course_Category]]))</f>
        <v>Programming</v>
      </c>
      <c r="I141" s="1">
        <f>Raw_data[[#This Row],[Enrollment_Date]]</f>
        <v>45387</v>
      </c>
      <c r="J141" s="1">
        <f>Raw_data[[#This Row],[Last_Login_Date]]</f>
        <v>44986</v>
      </c>
      <c r="K141">
        <f>Raw_data[[#This Row],[Course_Price]]</f>
        <v>5000</v>
      </c>
      <c r="L141">
        <f>Raw_data[[#This Row],[Discount_Applied]]</f>
        <v>0</v>
      </c>
      <c r="M141">
        <f>Raw_data[[#This Row],[Amount_Paid]]</f>
        <v>5000</v>
      </c>
      <c r="N141" t="str">
        <f>TRIM(PROPER(Raw_data[[#This Row],[Completion_Status]]))</f>
        <v>Completed</v>
      </c>
      <c r="O141" t="str">
        <f>TRIM(PROPER(Raw_data[[#This Row],[Refund_Issued]]))</f>
        <v>Yes</v>
      </c>
      <c r="P141">
        <f>Raw_data[[#This Row],[Engagement_Score]]</f>
        <v>0</v>
      </c>
      <c r="Q141">
        <f>Raw_data[[#This Row],[Videos_Watched]]</f>
        <v>38</v>
      </c>
      <c r="R141" t="str">
        <f>TRIM(PROPER(Raw_data[[#This Row],[Assignments_Completed]]))</f>
        <v>No</v>
      </c>
      <c r="S141">
        <f>Raw_data[[#This Row],[Days_Inactive]]</f>
        <v>0</v>
      </c>
      <c r="T141">
        <f>Studentdata[[#This Row],[Course price]]-Studentdata[[#This Row],[Amount paid]]</f>
        <v>0</v>
      </c>
    </row>
    <row r="142" spans="1:20" x14ac:dyDescent="0.3">
      <c r="A142">
        <v>141</v>
      </c>
      <c r="B142" t="str">
        <f>Raw_data[[#This Row],[Student_ID]]</f>
        <v>S1114</v>
      </c>
      <c r="C142" t="str">
        <f>TRIM(PROPER(Raw_data[[#This Row],[Student_Name]]))</f>
        <v>Usha Yadav</v>
      </c>
      <c r="D142">
        <f>Raw_data[[#This Row],[Age]]</f>
        <v>27</v>
      </c>
      <c r="E142" t="str">
        <f>TRIM(PROPER(Raw_data[[#This Row],[Gender]]))</f>
        <v>Female</v>
      </c>
      <c r="F142" t="str">
        <f>TRIM(PROPER(Raw_data[[#This Row],[City]]))</f>
        <v>Chandigarh</v>
      </c>
      <c r="G142" t="str">
        <f>TRIM(PROPER(Raw_data[[#This Row],[Course_Name]]))</f>
        <v>Advanced Excel</v>
      </c>
      <c r="H142" t="str">
        <f>TRIM(PROPER(Raw_data[[#This Row],[Course_Category]]))</f>
        <v>Productivity</v>
      </c>
      <c r="I142" s="1">
        <f>Raw_data[[#This Row],[Enrollment_Date]]</f>
        <v>45612</v>
      </c>
      <c r="J142" s="1">
        <f>Raw_data[[#This Row],[Last_Login_Date]]</f>
        <v>44986</v>
      </c>
      <c r="K142">
        <f>Raw_data[[#This Row],[Course_Price]]</f>
        <v>3000</v>
      </c>
      <c r="L142">
        <f>Raw_data[[#This Row],[Discount_Applied]]</f>
        <v>1000</v>
      </c>
      <c r="M142">
        <f>Raw_data[[#This Row],[Amount_Paid]]</f>
        <v>2000</v>
      </c>
      <c r="N142" t="str">
        <f>TRIM(PROPER(Raw_data[[#This Row],[Completion_Status]]))</f>
        <v>Churned</v>
      </c>
      <c r="O142" t="str">
        <f>TRIM(PROPER(Raw_data[[#This Row],[Refund_Issued]]))</f>
        <v>No</v>
      </c>
      <c r="P142">
        <f>Raw_data[[#This Row],[Engagement_Score]]</f>
        <v>0</v>
      </c>
      <c r="Q142">
        <f>Raw_data[[#This Row],[Videos_Watched]]</f>
        <v>44</v>
      </c>
      <c r="R142" t="str">
        <f>TRIM(PROPER(Raw_data[[#This Row],[Assignments_Completed]]))</f>
        <v>No</v>
      </c>
      <c r="S142">
        <f>Raw_data[[#This Row],[Days_Inactive]]</f>
        <v>0</v>
      </c>
      <c r="T142">
        <f>Studentdata[[#This Row],[Course price]]-Studentdata[[#This Row],[Amount paid]]</f>
        <v>1000</v>
      </c>
    </row>
    <row r="143" spans="1:20" x14ac:dyDescent="0.3">
      <c r="A143">
        <v>142</v>
      </c>
      <c r="B143" t="str">
        <f>Raw_data[[#This Row],[Student_ID]]</f>
        <v>S1061</v>
      </c>
      <c r="C143" t="str">
        <f>TRIM(PROPER(Raw_data[[#This Row],[Student_Name]]))</f>
        <v>Varun Sharma</v>
      </c>
      <c r="D143">
        <f>Raw_data[[#This Row],[Age]]</f>
        <v>22</v>
      </c>
      <c r="E143" t="str">
        <f>TRIM(PROPER(Raw_data[[#This Row],[Gender]]))</f>
        <v>Male</v>
      </c>
      <c r="F143" t="str">
        <f>TRIM(PROPER(Raw_data[[#This Row],[City]]))</f>
        <v>Chandigarh</v>
      </c>
      <c r="G143" t="str">
        <f>TRIM(PROPER(Raw_data[[#This Row],[Course_Name]]))</f>
        <v>Python For Data Science</v>
      </c>
      <c r="H143" t="str">
        <f>TRIM(PROPER(Raw_data[[#This Row],[Course_Category]]))</f>
        <v>Programming</v>
      </c>
      <c r="I143" s="1">
        <f>Raw_data[[#This Row],[Enrollment_Date]]</f>
        <v>45487</v>
      </c>
      <c r="J143" s="1">
        <f>Raw_data[[#This Row],[Last_Login_Date]]</f>
        <v>45563</v>
      </c>
      <c r="K143">
        <f>Raw_data[[#This Row],[Course_Price]]</f>
        <v>6000</v>
      </c>
      <c r="L143">
        <f>Raw_data[[#This Row],[Discount_Applied]]</f>
        <v>0</v>
      </c>
      <c r="M143">
        <f>Raw_data[[#This Row],[Amount_Paid]]</f>
        <v>6000</v>
      </c>
      <c r="N143" t="str">
        <f>TRIM(PROPER(Raw_data[[#This Row],[Completion_Status]]))</f>
        <v>Churned</v>
      </c>
      <c r="O143" t="str">
        <f>TRIM(PROPER(Raw_data[[#This Row],[Refund_Issued]]))</f>
        <v>No</v>
      </c>
      <c r="P143">
        <f>Raw_data[[#This Row],[Engagement_Score]]</f>
        <v>2</v>
      </c>
      <c r="Q143">
        <f>Raw_data[[#This Row],[Videos_Watched]]</f>
        <v>41</v>
      </c>
      <c r="R143" t="str">
        <f>TRIM(PROPER(Raw_data[[#This Row],[Assignments_Completed]]))</f>
        <v>No</v>
      </c>
      <c r="S143">
        <f>Raw_data[[#This Row],[Days_Inactive]]</f>
        <v>0</v>
      </c>
      <c r="T143">
        <f>Studentdata[[#This Row],[Course price]]-Studentdata[[#This Row],[Amount paid]]</f>
        <v>0</v>
      </c>
    </row>
    <row r="144" spans="1:20" x14ac:dyDescent="0.3">
      <c r="A144">
        <v>143</v>
      </c>
      <c r="B144" t="str">
        <f>Raw_data[[#This Row],[Student_ID]]</f>
        <v>S1149</v>
      </c>
      <c r="C144" t="str">
        <f>TRIM(PROPER(Raw_data[[#This Row],[Student_Name]]))</f>
        <v>Victor Dsouza</v>
      </c>
      <c r="D144">
        <f>Raw_data[[#This Row],[Age]]</f>
        <v>25</v>
      </c>
      <c r="E144" t="str">
        <f>TRIM(PROPER(Raw_data[[#This Row],[Gender]]))</f>
        <v>Male</v>
      </c>
      <c r="F144" t="str">
        <f>TRIM(PROPER(Raw_data[[#This Row],[City]]))</f>
        <v>Chandigarh</v>
      </c>
      <c r="G144" t="str">
        <f>TRIM(PROPER(Raw_data[[#This Row],[Course_Name]]))</f>
        <v>Data Analytics Bootcamp</v>
      </c>
      <c r="H144" t="str">
        <f>TRIM(PROPER(Raw_data[[#This Row],[Course_Category]]))</f>
        <v>Analytics</v>
      </c>
      <c r="I144" s="1">
        <f>Raw_data[[#This Row],[Enrollment_Date]]</f>
        <v>45476</v>
      </c>
      <c r="J144" s="1">
        <f>Raw_data[[#This Row],[Last_Login_Date]]</f>
        <v>45595</v>
      </c>
      <c r="K144">
        <f>Raw_data[[#This Row],[Course_Price]]</f>
        <v>6000</v>
      </c>
      <c r="L144">
        <f>Raw_data[[#This Row],[Discount_Applied]]</f>
        <v>0</v>
      </c>
      <c r="M144">
        <f>Raw_data[[#This Row],[Amount_Paid]]</f>
        <v>6000</v>
      </c>
      <c r="N144" t="str">
        <f>TRIM(PROPER(Raw_data[[#This Row],[Completion_Status]]))</f>
        <v>Churned</v>
      </c>
      <c r="O144" t="str">
        <f>TRIM(PROPER(Raw_data[[#This Row],[Refund_Issued]]))</f>
        <v>Yes</v>
      </c>
      <c r="P144">
        <f>Raw_data[[#This Row],[Engagement_Score]]</f>
        <v>0</v>
      </c>
      <c r="Q144">
        <f>Raw_data[[#This Row],[Videos_Watched]]</f>
        <v>49</v>
      </c>
      <c r="R144" t="str">
        <f>TRIM(PROPER(Raw_data[[#This Row],[Assignments_Completed]]))</f>
        <v>Yes</v>
      </c>
      <c r="S144">
        <f>Raw_data[[#This Row],[Days_Inactive]]</f>
        <v>1</v>
      </c>
      <c r="T144">
        <f>Studentdata[[#This Row],[Course price]]-Studentdata[[#This Row],[Amount paid]]</f>
        <v>0</v>
      </c>
    </row>
    <row r="145" spans="1:20" x14ac:dyDescent="0.3">
      <c r="A145">
        <v>144</v>
      </c>
      <c r="B145" t="str">
        <f>Raw_data[[#This Row],[Student_ID]]</f>
        <v>S1004</v>
      </c>
      <c r="C145" t="str">
        <f>TRIM(PROPER(Raw_data[[#This Row],[Student_Name]]))</f>
        <v>Vihaan Gupta</v>
      </c>
      <c r="D145">
        <f>Raw_data[[#This Row],[Age]]</f>
        <v>29</v>
      </c>
      <c r="E145" t="str">
        <f>TRIM(PROPER(Raw_data[[#This Row],[Gender]]))</f>
        <v>Male</v>
      </c>
      <c r="F145" t="str">
        <f>TRIM(PROPER(Raw_data[[#This Row],[City]]))</f>
        <v>Chennai</v>
      </c>
      <c r="G145" t="str">
        <f>TRIM(PROPER(Raw_data[[#This Row],[Course_Name]]))</f>
        <v>Excel For Beginners</v>
      </c>
      <c r="H145" t="str">
        <f>TRIM(PROPER(Raw_data[[#This Row],[Course_Category]]))</f>
        <v>Productivity</v>
      </c>
      <c r="I145" s="1">
        <f>Raw_data[[#This Row],[Enrollment_Date]]</f>
        <v>45484</v>
      </c>
      <c r="J145" s="1">
        <f>Raw_data[[#This Row],[Last_Login_Date]]</f>
        <v>45684</v>
      </c>
      <c r="K145">
        <f>Raw_data[[#This Row],[Course_Price]]</f>
        <v>4000</v>
      </c>
      <c r="L145">
        <f>Raw_data[[#This Row],[Discount_Applied]]</f>
        <v>500</v>
      </c>
      <c r="M145">
        <f>Raw_data[[#This Row],[Amount_Paid]]</f>
        <v>3500</v>
      </c>
      <c r="N145" t="str">
        <f>TRIM(PROPER(Raw_data[[#This Row],[Completion_Status]]))</f>
        <v>Churned</v>
      </c>
      <c r="O145" t="str">
        <f>TRIM(PROPER(Raw_data[[#This Row],[Refund_Issued]]))</f>
        <v>Yes</v>
      </c>
      <c r="P145">
        <f>Raw_data[[#This Row],[Engagement_Score]]</f>
        <v>4</v>
      </c>
      <c r="Q145">
        <f>Raw_data[[#This Row],[Videos_Watched]]</f>
        <v>20</v>
      </c>
      <c r="R145" t="str">
        <f>TRIM(PROPER(Raw_data[[#This Row],[Assignments_Completed]]))</f>
        <v>Yes</v>
      </c>
      <c r="S145">
        <f>Raw_data[[#This Row],[Days_Inactive]]</f>
        <v>0</v>
      </c>
      <c r="T145">
        <f>Studentdata[[#This Row],[Course price]]-Studentdata[[#This Row],[Amount paid]]</f>
        <v>500</v>
      </c>
    </row>
    <row r="146" spans="1:20" x14ac:dyDescent="0.3">
      <c r="A146">
        <v>145</v>
      </c>
      <c r="B146" t="str">
        <f>Raw_data[[#This Row],[Student_ID]]</f>
        <v>S1043</v>
      </c>
      <c r="C146" t="str">
        <f>TRIM(PROPER(Raw_data[[#This Row],[Student_Name]]))</f>
        <v>Vikas Kumar</v>
      </c>
      <c r="D146">
        <f>Raw_data[[#This Row],[Age]]</f>
        <v>19</v>
      </c>
      <c r="E146" t="str">
        <f>TRIM(PROPER(Raw_data[[#This Row],[Gender]]))</f>
        <v>Male</v>
      </c>
      <c r="F146" t="str">
        <f>TRIM(PROPER(Raw_data[[#This Row],[City]]))</f>
        <v>Chennai</v>
      </c>
      <c r="G146" t="str">
        <f>TRIM(PROPER(Raw_data[[#This Row],[Course_Name]]))</f>
        <v>Excel For Beginners</v>
      </c>
      <c r="H146" t="str">
        <f>TRIM(PROPER(Raw_data[[#This Row],[Course_Category]]))</f>
        <v>Productivity</v>
      </c>
      <c r="I146" s="1">
        <f>Raw_data[[#This Row],[Enrollment_Date]]</f>
        <v>45498</v>
      </c>
      <c r="J146" s="1">
        <f>Raw_data[[#This Row],[Last_Login_Date]]</f>
        <v>45637</v>
      </c>
      <c r="K146">
        <f>Raw_data[[#This Row],[Course_Price]]</f>
        <v>5000</v>
      </c>
      <c r="L146">
        <f>Raw_data[[#This Row],[Discount_Applied]]</f>
        <v>0</v>
      </c>
      <c r="M146">
        <f>Raw_data[[#This Row],[Amount_Paid]]</f>
        <v>5000</v>
      </c>
      <c r="N146" t="str">
        <f>TRIM(PROPER(Raw_data[[#This Row],[Completion_Status]]))</f>
        <v>Churned</v>
      </c>
      <c r="O146" t="str">
        <f>TRIM(PROPER(Raw_data[[#This Row],[Refund_Issued]]))</f>
        <v>No</v>
      </c>
      <c r="P146">
        <f>Raw_data[[#This Row],[Engagement_Score]]</f>
        <v>4</v>
      </c>
      <c r="Q146">
        <f>Raw_data[[#This Row],[Videos_Watched]]</f>
        <v>23</v>
      </c>
      <c r="R146" t="str">
        <f>TRIM(PROPER(Raw_data[[#This Row],[Assignments_Completed]]))</f>
        <v>No</v>
      </c>
      <c r="S146">
        <f>Raw_data[[#This Row],[Days_Inactive]]</f>
        <v>63</v>
      </c>
      <c r="T146">
        <f>Studentdata[[#This Row],[Course price]]-Studentdata[[#This Row],[Amount paid]]</f>
        <v>0</v>
      </c>
    </row>
    <row r="147" spans="1:20" x14ac:dyDescent="0.3">
      <c r="A147">
        <v>146</v>
      </c>
      <c r="B147" t="str">
        <f>Raw_data[[#This Row],[Student_ID]]</f>
        <v>S1124</v>
      </c>
      <c r="C147" t="str">
        <f>TRIM(PROPER(Raw_data[[#This Row],[Student_Name]]))</f>
        <v>Vinod Kumar</v>
      </c>
      <c r="D147">
        <f>Raw_data[[#This Row],[Age]]</f>
        <v>28</v>
      </c>
      <c r="E147" t="str">
        <f>TRIM(PROPER(Raw_data[[#This Row],[Gender]]))</f>
        <v>Male</v>
      </c>
      <c r="F147" t="str">
        <f>TRIM(PROPER(Raw_data[[#This Row],[City]]))</f>
        <v>Mumbai</v>
      </c>
      <c r="G147" t="str">
        <f>TRIM(PROPER(Raw_data[[#This Row],[Course_Name]]))</f>
        <v>Python For Data Science</v>
      </c>
      <c r="H147" t="str">
        <f>TRIM(PROPER(Raw_data[[#This Row],[Course_Category]]))</f>
        <v>Programming</v>
      </c>
      <c r="I147" s="1">
        <f>Raw_data[[#This Row],[Enrollment_Date]]</f>
        <v>45319</v>
      </c>
      <c r="J147" s="1">
        <f>Raw_data[[#This Row],[Last_Login_Date]]</f>
        <v>45331</v>
      </c>
      <c r="K147">
        <f>Raw_data[[#This Row],[Course_Price]]</f>
        <v>6000</v>
      </c>
      <c r="L147">
        <f>Raw_data[[#This Row],[Discount_Applied]]</f>
        <v>0</v>
      </c>
      <c r="M147">
        <f>Raw_data[[#This Row],[Amount_Paid]]</f>
        <v>6000</v>
      </c>
      <c r="N147" t="str">
        <f>TRIM(PROPER(Raw_data[[#This Row],[Completion_Status]]))</f>
        <v>Completed</v>
      </c>
      <c r="O147" t="str">
        <f>TRIM(PROPER(Raw_data[[#This Row],[Refund_Issued]]))</f>
        <v>Yes</v>
      </c>
      <c r="P147">
        <f>Raw_data[[#This Row],[Engagement_Score]]</f>
        <v>0</v>
      </c>
      <c r="Q147">
        <f>Raw_data[[#This Row],[Videos_Watched]]</f>
        <v>49</v>
      </c>
      <c r="R147" t="str">
        <f>TRIM(PROPER(Raw_data[[#This Row],[Assignments_Completed]]))</f>
        <v>Yes</v>
      </c>
      <c r="S147">
        <f>Raw_data[[#This Row],[Days_Inactive]]</f>
        <v>0</v>
      </c>
      <c r="T147">
        <f>Studentdata[[#This Row],[Course price]]-Studentdata[[#This Row],[Amount paid]]</f>
        <v>0</v>
      </c>
    </row>
    <row r="148" spans="1:20" x14ac:dyDescent="0.3">
      <c r="A148">
        <v>147</v>
      </c>
      <c r="B148" t="str">
        <f>Raw_data[[#This Row],[Student_ID]]</f>
        <v>S1002</v>
      </c>
      <c r="C148" t="str">
        <f>TRIM(PROPER(Raw_data[[#This Row],[Student_Name]]))</f>
        <v>Vivaan Singh</v>
      </c>
      <c r="D148">
        <f>Raw_data[[#This Row],[Age]]</f>
        <v>25</v>
      </c>
      <c r="E148" t="str">
        <f>TRIM(PROPER(Raw_data[[#This Row],[Gender]]))</f>
        <v>Male</v>
      </c>
      <c r="F148" t="str">
        <f>TRIM(PROPER(Raw_data[[#This Row],[City]]))</f>
        <v>Chennai</v>
      </c>
      <c r="G148" t="str">
        <f>TRIM(PROPER(Raw_data[[#This Row],[Course_Name]]))</f>
        <v>Advanced Excel</v>
      </c>
      <c r="H148" t="str">
        <f>TRIM(PROPER(Raw_data[[#This Row],[Course_Category]]))</f>
        <v>Productivity</v>
      </c>
      <c r="I148" s="1">
        <f>Raw_data[[#This Row],[Enrollment_Date]]</f>
        <v>45649</v>
      </c>
      <c r="J148" s="1">
        <f>Raw_data[[#This Row],[Last_Login_Date]]</f>
        <v>45703</v>
      </c>
      <c r="K148">
        <f>Raw_data[[#This Row],[Course_Price]]</f>
        <v>4000</v>
      </c>
      <c r="L148">
        <f>Raw_data[[#This Row],[Discount_Applied]]</f>
        <v>500</v>
      </c>
      <c r="M148">
        <f>Raw_data[[#This Row],[Amount_Paid]]</f>
        <v>3500</v>
      </c>
      <c r="N148" t="str">
        <f>TRIM(PROPER(Raw_data[[#This Row],[Completion_Status]]))</f>
        <v>Churned</v>
      </c>
      <c r="O148" t="str">
        <f>TRIM(PROPER(Raw_data[[#This Row],[Refund_Issued]]))</f>
        <v>Yes</v>
      </c>
      <c r="P148">
        <f>Raw_data[[#This Row],[Engagement_Score]]</f>
        <v>0</v>
      </c>
      <c r="Q148">
        <f>Raw_data[[#This Row],[Videos_Watched]]</f>
        <v>6</v>
      </c>
      <c r="R148" t="str">
        <f>TRIM(PROPER(Raw_data[[#This Row],[Assignments_Completed]]))</f>
        <v>Yes</v>
      </c>
      <c r="S148">
        <f>Raw_data[[#This Row],[Days_Inactive]]</f>
        <v>44</v>
      </c>
      <c r="T148">
        <f>Studentdata[[#This Row],[Course price]]-Studentdata[[#This Row],[Amount paid]]</f>
        <v>500</v>
      </c>
    </row>
    <row r="149" spans="1:20" x14ac:dyDescent="0.3">
      <c r="A149">
        <v>148</v>
      </c>
      <c r="B149" t="str">
        <f>Raw_data[[#This Row],[Student_ID]]</f>
        <v>S1066</v>
      </c>
      <c r="C149" t="str">
        <f>TRIM(PROPER(Raw_data[[#This Row],[Student_Name]]))</f>
        <v>Vivek Patel</v>
      </c>
      <c r="D149">
        <f>Raw_data[[#This Row],[Age]]</f>
        <v>32</v>
      </c>
      <c r="E149" t="str">
        <f>TRIM(PROPER(Raw_data[[#This Row],[Gender]]))</f>
        <v>Male</v>
      </c>
      <c r="F149" t="str">
        <f>TRIM(PROPER(Raw_data[[#This Row],[City]]))</f>
        <v>Chandigarh</v>
      </c>
      <c r="G149" t="str">
        <f>TRIM(PROPER(Raw_data[[#This Row],[Course_Name]]))</f>
        <v>Business Analysis Fundamentals</v>
      </c>
      <c r="H149" t="str">
        <f>TRIM(PROPER(Raw_data[[#This Row],[Course_Category]]))</f>
        <v>Analytics</v>
      </c>
      <c r="I149" s="1">
        <f>Raw_data[[#This Row],[Enrollment_Date]]</f>
        <v>45431</v>
      </c>
      <c r="J149" s="1">
        <f>Raw_data[[#This Row],[Last_Login_Date]]</f>
        <v>45458</v>
      </c>
      <c r="K149">
        <f>Raw_data[[#This Row],[Course_Price]]</f>
        <v>5000</v>
      </c>
      <c r="L149">
        <f>Raw_data[[#This Row],[Discount_Applied]]</f>
        <v>500</v>
      </c>
      <c r="M149">
        <f>Raw_data[[#This Row],[Amount_Paid]]</f>
        <v>4500</v>
      </c>
      <c r="N149" t="str">
        <f>TRIM(PROPER(Raw_data[[#This Row],[Completion_Status]]))</f>
        <v>Completed</v>
      </c>
      <c r="O149" t="str">
        <f>TRIM(PROPER(Raw_data[[#This Row],[Refund_Issued]]))</f>
        <v>Yes</v>
      </c>
      <c r="P149">
        <f>Raw_data[[#This Row],[Engagement_Score]]</f>
        <v>8</v>
      </c>
      <c r="Q149">
        <f>Raw_data[[#This Row],[Videos_Watched]]</f>
        <v>42</v>
      </c>
      <c r="R149" t="str">
        <f>TRIM(PROPER(Raw_data[[#This Row],[Assignments_Completed]]))</f>
        <v>Yes</v>
      </c>
      <c r="S149">
        <f>Raw_data[[#This Row],[Days_Inactive]]</f>
        <v>0</v>
      </c>
      <c r="T149">
        <f>Studentdata[[#This Row],[Course price]]-Studentdata[[#This Row],[Amount paid]]</f>
        <v>500</v>
      </c>
    </row>
    <row r="150" spans="1:20" x14ac:dyDescent="0.3">
      <c r="A150">
        <v>149</v>
      </c>
      <c r="B150" t="str">
        <f>Raw_data[[#This Row],[Student_ID]]</f>
        <v>S1016</v>
      </c>
      <c r="C150" t="str">
        <f>TRIM(PROPER(Raw_data[[#This Row],[Student_Name]]))</f>
        <v>Yash Jain</v>
      </c>
      <c r="D150">
        <f>Raw_data[[#This Row],[Age]]</f>
        <v>22</v>
      </c>
      <c r="E150" t="str">
        <f>TRIM(PROPER(Raw_data[[#This Row],[Gender]]))</f>
        <v>Male</v>
      </c>
      <c r="F150" t="str">
        <f>TRIM(PROPER(Raw_data[[#This Row],[City]]))</f>
        <v>Hyderabad</v>
      </c>
      <c r="G150" t="str">
        <f>TRIM(PROPER(Raw_data[[#This Row],[Course_Name]]))</f>
        <v>Power Bi Complete Guide</v>
      </c>
      <c r="H150" t="str">
        <f>TRIM(PROPER(Raw_data[[#This Row],[Course_Category]]))</f>
        <v>Analytics</v>
      </c>
      <c r="I150" s="1">
        <f>Raw_data[[#This Row],[Enrollment_Date]]</f>
        <v>45372</v>
      </c>
      <c r="J150" s="1">
        <f>Raw_data[[#This Row],[Last_Login_Date]]</f>
        <v>45428</v>
      </c>
      <c r="K150">
        <f>Raw_data[[#This Row],[Course_Price]]</f>
        <v>7000</v>
      </c>
      <c r="L150">
        <f>Raw_data[[#This Row],[Discount_Applied]]</f>
        <v>0</v>
      </c>
      <c r="M150">
        <f>Raw_data[[#This Row],[Amount_Paid]]</f>
        <v>7000</v>
      </c>
      <c r="N150" t="str">
        <f>TRIM(PROPER(Raw_data[[#This Row],[Completion_Status]]))</f>
        <v>Completed</v>
      </c>
      <c r="O150" t="str">
        <f>TRIM(PROPER(Raw_data[[#This Row],[Refund_Issued]]))</f>
        <v>No</v>
      </c>
      <c r="P150">
        <f>Raw_data[[#This Row],[Engagement_Score]]</f>
        <v>5</v>
      </c>
      <c r="Q150">
        <f>Raw_data[[#This Row],[Videos_Watched]]</f>
        <v>6</v>
      </c>
      <c r="R150" t="str">
        <f>TRIM(PROPER(Raw_data[[#This Row],[Assignments_Completed]]))</f>
        <v>No</v>
      </c>
      <c r="S150">
        <f>Raw_data[[#This Row],[Days_Inactive]]</f>
        <v>16</v>
      </c>
      <c r="T150">
        <f>Studentdata[[#This Row],[Course price]]-Studentdata[[#This Row],[Amount paid]]</f>
        <v>0</v>
      </c>
    </row>
    <row r="151" spans="1:20" x14ac:dyDescent="0.3">
      <c r="A151">
        <v>150</v>
      </c>
      <c r="B151" t="str">
        <f>Raw_data[[#This Row],[Student_ID]]</f>
        <v>S1138</v>
      </c>
      <c r="C151" t="str">
        <f>TRIM(PROPER(Raw_data[[#This Row],[Student_Name]]))</f>
        <v>Zaid Khan</v>
      </c>
      <c r="D151">
        <f>Raw_data[[#This Row],[Age]]</f>
        <v>23</v>
      </c>
      <c r="E151" t="str">
        <f>TRIM(PROPER(Raw_data[[#This Row],[Gender]]))</f>
        <v>Male</v>
      </c>
      <c r="F151" t="str">
        <f>TRIM(PROPER(Raw_data[[#This Row],[City]]))</f>
        <v>Bangalore</v>
      </c>
      <c r="G151" t="str">
        <f>TRIM(PROPER(Raw_data[[#This Row],[Course_Name]]))</f>
        <v>Python For Data Science</v>
      </c>
      <c r="H151" t="str">
        <f>TRIM(PROPER(Raw_data[[#This Row],[Course_Category]]))</f>
        <v>Programming</v>
      </c>
      <c r="I151" s="1">
        <f>Raw_data[[#This Row],[Enrollment_Date]]</f>
        <v>45522</v>
      </c>
      <c r="J151" s="1">
        <f>Raw_data[[#This Row],[Last_Login_Date]]</f>
        <v>45601</v>
      </c>
      <c r="K151">
        <f>Raw_data[[#This Row],[Course_Price]]</f>
        <v>3000</v>
      </c>
      <c r="L151">
        <f>Raw_data[[#This Row],[Discount_Applied]]</f>
        <v>500</v>
      </c>
      <c r="M151">
        <f>Raw_data[[#This Row],[Amount_Paid]]</f>
        <v>2500</v>
      </c>
      <c r="N151" t="str">
        <f>TRIM(PROPER(Raw_data[[#This Row],[Completion_Status]]))</f>
        <v>Completed</v>
      </c>
      <c r="O151" t="str">
        <f>TRIM(PROPER(Raw_data[[#This Row],[Refund_Issued]]))</f>
        <v>No</v>
      </c>
      <c r="P151">
        <f>Raw_data[[#This Row],[Engagement_Score]]</f>
        <v>9</v>
      </c>
      <c r="Q151">
        <f>Raw_data[[#This Row],[Videos_Watched]]</f>
        <v>41</v>
      </c>
      <c r="R151" t="str">
        <f>TRIM(PROPER(Raw_data[[#This Row],[Assignments_Completed]]))</f>
        <v>No</v>
      </c>
      <c r="S151">
        <f>Raw_data[[#This Row],[Days_Inactive]]</f>
        <v>0</v>
      </c>
      <c r="T151">
        <f>Studentdata[[#This Row],[Course price]]-Studentdata[[#This Row],[Amount paid]]</f>
        <v>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6475-2E6A-404A-96DA-7F1ED0E10F1B}">
  <dimension ref="A1:J19"/>
  <sheetViews>
    <sheetView workbookViewId="0">
      <selection activeCell="C25" sqref="C25"/>
    </sheetView>
  </sheetViews>
  <sheetFormatPr defaultRowHeight="14.4" x14ac:dyDescent="0.3"/>
  <cols>
    <col min="1" max="1" width="18.44140625" customWidth="1"/>
    <col min="2" max="2" width="12.5546875" customWidth="1"/>
    <col min="3" max="3" width="9.88671875" customWidth="1"/>
    <col min="4" max="4" width="7.77734375" customWidth="1"/>
    <col min="5" max="5" width="12.21875" customWidth="1"/>
    <col min="6" max="6" width="11.33203125" customWidth="1"/>
    <col min="7" max="7" width="10" customWidth="1"/>
    <col min="9" max="9" width="18.6640625" customWidth="1"/>
    <col min="10" max="10" width="8.88671875" style="4"/>
  </cols>
  <sheetData>
    <row r="1" spans="1:10" ht="18" x14ac:dyDescent="0.35">
      <c r="A1" s="22" t="s">
        <v>391</v>
      </c>
      <c r="B1" s="22"/>
      <c r="C1" s="22"/>
      <c r="D1" s="22"/>
      <c r="E1" s="22"/>
      <c r="F1" s="22"/>
      <c r="J1"/>
    </row>
    <row r="2" spans="1:10" x14ac:dyDescent="0.3">
      <c r="E2" s="12"/>
      <c r="J2"/>
    </row>
    <row r="3" spans="1:10" ht="15.6" x14ac:dyDescent="0.3">
      <c r="A3" s="9" t="s">
        <v>392</v>
      </c>
      <c r="B3" s="9">
        <f>COUNTA(Studentdata[Student_id])</f>
        <v>150</v>
      </c>
      <c r="J3"/>
    </row>
    <row r="4" spans="1:10" ht="15.6" x14ac:dyDescent="0.3">
      <c r="A4" s="9" t="s">
        <v>404</v>
      </c>
      <c r="B4" s="10">
        <v>0.55000000000000004</v>
      </c>
      <c r="J4"/>
    </row>
    <row r="5" spans="1:10" x14ac:dyDescent="0.3">
      <c r="J5"/>
    </row>
    <row r="6" spans="1:10" x14ac:dyDescent="0.3">
      <c r="A6" s="23" t="s">
        <v>385</v>
      </c>
      <c r="B6" s="23"/>
      <c r="C6" s="23"/>
      <c r="D6" s="23"/>
      <c r="E6" s="23"/>
      <c r="F6" s="23"/>
      <c r="J6"/>
    </row>
    <row r="7" spans="1:10" x14ac:dyDescent="0.3">
      <c r="A7" s="8" t="s">
        <v>393</v>
      </c>
      <c r="B7" s="8" t="s">
        <v>392</v>
      </c>
      <c r="C7" s="8" t="s">
        <v>24</v>
      </c>
      <c r="D7" s="8" t="s">
        <v>42</v>
      </c>
      <c r="E7" s="13" t="s">
        <v>394</v>
      </c>
      <c r="F7" s="13" t="s">
        <v>395</v>
      </c>
      <c r="G7" s="8" t="s">
        <v>399</v>
      </c>
      <c r="J7"/>
    </row>
    <row r="8" spans="1:10" x14ac:dyDescent="0.3">
      <c r="E8" s="14"/>
      <c r="F8" s="14"/>
    </row>
    <row r="9" spans="1:10" x14ac:dyDescent="0.3">
      <c r="A9" t="s">
        <v>37</v>
      </c>
      <c r="B9">
        <f>COUNTIF(Studentdata[Course category],A9)</f>
        <v>70</v>
      </c>
      <c r="C9">
        <f>COUNTIFS(Studentdata[Course category],A9,Studentdata[Completion status],$C$7)</f>
        <v>34</v>
      </c>
      <c r="D9">
        <f>COUNTIFS(Studentdata[Course category],A9,Studentdata[Completion status],$D$7)</f>
        <v>36</v>
      </c>
      <c r="E9" s="14">
        <f>SUMIFS(Studentdata[Amount paid],Studentdata[Course category],A9,Studentdata[Completion status],$C$7)</f>
        <v>164000</v>
      </c>
      <c r="F9" s="14">
        <f>SUMIFS(Studentdata[Amount pending],Studentdata[Course category],A9,Studentdata[Completion status],$D$7)</f>
        <v>13000</v>
      </c>
      <c r="G9" s="7">
        <f>D9/$D$13</f>
        <v>0.43902439024390244</v>
      </c>
    </row>
    <row r="10" spans="1:10" x14ac:dyDescent="0.3">
      <c r="A10" t="s">
        <v>47</v>
      </c>
      <c r="B10">
        <f>COUNTIF(Studentdata[Course category],A10)</f>
        <v>21</v>
      </c>
      <c r="C10">
        <f>COUNTIFS(Studentdata[Course category],A10,Studentdata[Completion status],$C$7)</f>
        <v>8</v>
      </c>
      <c r="D10">
        <f>COUNTIFS(Studentdata[Course category],A10,Studentdata[Completion status],$D$7)</f>
        <v>13</v>
      </c>
      <c r="E10" s="14">
        <f>SUMIFS(Studentdata[Amount paid],Studentdata[Course category],A10,Studentdata[Completion status],$C$7)</f>
        <v>33500</v>
      </c>
      <c r="F10" s="14">
        <f>SUMIFS(Studentdata[Amount pending],Studentdata[Course category],A10,Studentdata[Completion status],$D$7)</f>
        <v>5500</v>
      </c>
      <c r="G10" s="7">
        <f>D10/$D$13</f>
        <v>0.15853658536585366</v>
      </c>
    </row>
    <row r="11" spans="1:10" x14ac:dyDescent="0.3">
      <c r="A11" t="s">
        <v>23</v>
      </c>
      <c r="B11">
        <f>COUNTIF(Studentdata[Course category],A11)</f>
        <v>41</v>
      </c>
      <c r="C11">
        <f>COUNTIFS(Studentdata[Course category],A11,Studentdata[Completion status],$C$7)</f>
        <v>17</v>
      </c>
      <c r="D11">
        <f>COUNTIFS(Studentdata[Course category],A11,Studentdata[Completion status],$D$7)</f>
        <v>24</v>
      </c>
      <c r="E11" s="14">
        <f>SUMIFS(Studentdata[Amount paid],Studentdata[Course category],A11,Studentdata[Completion status],$C$7)</f>
        <v>83500</v>
      </c>
      <c r="F11" s="14">
        <f>SUMIFS(Studentdata[Amount pending],Studentdata[Course category],A11,Studentdata[Completion status],$D$7)</f>
        <v>9500</v>
      </c>
      <c r="G11" s="7">
        <f>D11/$D$13</f>
        <v>0.29268292682926828</v>
      </c>
    </row>
    <row r="12" spans="1:10" x14ac:dyDescent="0.3">
      <c r="A12" t="s">
        <v>79</v>
      </c>
      <c r="B12">
        <f>COUNTIF(Studentdata[Course category],A12)</f>
        <v>18</v>
      </c>
      <c r="C12">
        <f>COUNTIFS(Studentdata[Course category],A12,Studentdata[Completion status],$C$7)</f>
        <v>9</v>
      </c>
      <c r="D12">
        <f>COUNTIFS(Studentdata[Course category],A12,Studentdata[Completion status],$D$7)</f>
        <v>9</v>
      </c>
      <c r="E12" s="14">
        <f>SUMIFS(Studentdata[Amount paid],Studentdata[Course category],A12,Studentdata[Completion status],$C$7)</f>
        <v>42000</v>
      </c>
      <c r="F12" s="14">
        <f>SUMIFS(Studentdata[Amount pending],Studentdata[Course category],A12,Studentdata[Completion status],$D$7)</f>
        <v>4000</v>
      </c>
      <c r="G12" s="7">
        <f>D12/$D$13</f>
        <v>0.10975609756097561</v>
      </c>
    </row>
    <row r="13" spans="1:10" x14ac:dyDescent="0.3">
      <c r="A13" t="s">
        <v>396</v>
      </c>
      <c r="B13">
        <f>SUM(B9:B12)</f>
        <v>150</v>
      </c>
      <c r="C13">
        <f>SUM(C9:C12)</f>
        <v>68</v>
      </c>
      <c r="D13">
        <f>SUM(D9:D12)</f>
        <v>82</v>
      </c>
      <c r="E13" s="15">
        <f>SUM(E9:E12)</f>
        <v>323000</v>
      </c>
      <c r="F13" s="14">
        <f>SUM(F9:F12)</f>
        <v>32000</v>
      </c>
    </row>
    <row r="15" spans="1:10" x14ac:dyDescent="0.3">
      <c r="A15" s="24"/>
      <c r="B15" s="24"/>
      <c r="C15" s="24"/>
      <c r="D15" s="24"/>
      <c r="E15" s="24"/>
      <c r="F15" s="24"/>
    </row>
    <row r="17" spans="7:10" x14ac:dyDescent="0.3">
      <c r="G17" s="4"/>
      <c r="J17"/>
    </row>
    <row r="18" spans="7:10" x14ac:dyDescent="0.3">
      <c r="G18" s="4"/>
      <c r="J18"/>
    </row>
    <row r="19" spans="7:10" x14ac:dyDescent="0.3">
      <c r="G19" s="4"/>
      <c r="J19"/>
    </row>
  </sheetData>
  <mergeCells count="3">
    <mergeCell ref="A1:F1"/>
    <mergeCell ref="A6:F6"/>
    <mergeCell ref="A15:F15"/>
  </mergeCells>
  <conditionalFormatting sqref="E9:E12">
    <cfRule type="dataBar" priority="2">
      <dataBar>
        <cfvo type="min"/>
        <cfvo type="max"/>
        <color rgb="FF008AEF"/>
      </dataBar>
      <extLst>
        <ext xmlns:x14="http://schemas.microsoft.com/office/spreadsheetml/2009/9/main" uri="{B025F937-C7B1-47D3-B67F-A62EFF666E3E}">
          <x14:id>{39687238-D018-4972-BBAE-CB2FCFD6D18F}</x14:id>
        </ext>
      </extLst>
    </cfRule>
  </conditionalFormatting>
  <conditionalFormatting sqref="F9:F12">
    <cfRule type="dataBar" priority="1">
      <dataBar>
        <cfvo type="min"/>
        <cfvo type="max"/>
        <color rgb="FFFF555A"/>
      </dataBar>
      <extLst>
        <ext xmlns:x14="http://schemas.microsoft.com/office/spreadsheetml/2009/9/main" uri="{B025F937-C7B1-47D3-B67F-A62EFF666E3E}">
          <x14:id>{E10B881A-5F8B-4862-9BB8-AD57DCE84C29}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9687238-D018-4972-BBAE-CB2FCFD6D18F}">
            <x14:dataBar minLength="0" maxLength="100" border="1" negativeBarBorderColorSameAsPositive="0">
              <x14:cfvo type="autoMin"/>
              <x14:cfvo type="autoMax"/>
              <x14:borderColor rgb="FF008AEF"/>
              <x14:negativeFillColor rgb="FFFF0000"/>
              <x14:negativeBorderColor rgb="FFFF0000"/>
              <x14:axisColor rgb="FF000000"/>
            </x14:dataBar>
          </x14:cfRule>
          <xm:sqref>E9:E12</xm:sqref>
        </x14:conditionalFormatting>
        <x14:conditionalFormatting xmlns:xm="http://schemas.microsoft.com/office/excel/2006/main">
          <x14:cfRule type="dataBar" id="{E10B881A-5F8B-4862-9BB8-AD57DCE84C29}">
            <x14:dataBar minLength="0" maxLength="100" gradient="0">
              <x14:cfvo type="autoMin"/>
              <x14:cfvo type="autoMax"/>
              <x14:negativeFillColor rgb="FFFF0000"/>
              <x14:axisColor rgb="FF000000"/>
            </x14:dataBar>
          </x14:cfRule>
          <xm:sqref>F9:F12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02D1-C391-4423-9418-D189590DDD4F}">
  <dimension ref="A2:J30"/>
  <sheetViews>
    <sheetView workbookViewId="0">
      <selection activeCell="W4" sqref="W4"/>
    </sheetView>
  </sheetViews>
  <sheetFormatPr defaultRowHeight="14.4" x14ac:dyDescent="0.3"/>
  <cols>
    <col min="1" max="1" width="24.33203125" bestFit="1" customWidth="1"/>
    <col min="2" max="2" width="15.5546875" bestFit="1" customWidth="1"/>
    <col min="3" max="3" width="10.21875" bestFit="1" customWidth="1"/>
    <col min="4" max="4" width="10.77734375" bestFit="1" customWidth="1"/>
    <col min="5" max="5" width="27" bestFit="1" customWidth="1"/>
    <col min="6" max="6" width="8.77734375" bestFit="1" customWidth="1"/>
    <col min="7" max="7" width="16.6640625" bestFit="1" customWidth="1"/>
    <col min="8" max="8" width="18.6640625" customWidth="1"/>
    <col min="9" max="9" width="12.5546875" bestFit="1" customWidth="1"/>
    <col min="10" max="10" width="30.44140625" bestFit="1" customWidth="1"/>
    <col min="11" max="11" width="22" customWidth="1"/>
    <col min="12" max="12" width="10.77734375" bestFit="1" customWidth="1"/>
  </cols>
  <sheetData>
    <row r="2" spans="1:10" x14ac:dyDescent="0.3">
      <c r="A2" s="5" t="s">
        <v>410</v>
      </c>
      <c r="I2" s="5" t="s">
        <v>398</v>
      </c>
      <c r="J2" t="s">
        <v>411</v>
      </c>
    </row>
    <row r="3" spans="1:10" x14ac:dyDescent="0.3">
      <c r="B3" t="s">
        <v>42</v>
      </c>
      <c r="C3" t="s">
        <v>24</v>
      </c>
      <c r="D3" t="s">
        <v>397</v>
      </c>
      <c r="I3" s="6" t="s">
        <v>42</v>
      </c>
      <c r="J3" s="26">
        <v>82</v>
      </c>
    </row>
    <row r="4" spans="1:10" x14ac:dyDescent="0.3">
      <c r="A4" s="6" t="s">
        <v>30</v>
      </c>
      <c r="B4" s="26">
        <v>12</v>
      </c>
      <c r="C4" s="26">
        <v>8</v>
      </c>
      <c r="D4" s="26">
        <v>20</v>
      </c>
      <c r="I4" s="6" t="s">
        <v>24</v>
      </c>
      <c r="J4" s="26">
        <v>68</v>
      </c>
    </row>
    <row r="5" spans="1:10" x14ac:dyDescent="0.3">
      <c r="A5" s="6" t="s">
        <v>66</v>
      </c>
      <c r="B5" s="26">
        <v>6</v>
      </c>
      <c r="C5" s="26">
        <v>12</v>
      </c>
      <c r="D5" s="26">
        <v>18</v>
      </c>
    </row>
    <row r="6" spans="1:10" x14ac:dyDescent="0.3">
      <c r="A6" s="6" t="s">
        <v>88</v>
      </c>
      <c r="B6" s="26">
        <v>9</v>
      </c>
      <c r="C6" s="26">
        <v>5</v>
      </c>
      <c r="D6" s="26">
        <v>14</v>
      </c>
    </row>
    <row r="7" spans="1:10" x14ac:dyDescent="0.3">
      <c r="A7" s="6" t="s">
        <v>46</v>
      </c>
      <c r="B7" s="26">
        <v>13</v>
      </c>
      <c r="C7" s="26">
        <v>8</v>
      </c>
      <c r="D7" s="26">
        <v>21</v>
      </c>
    </row>
    <row r="8" spans="1:10" x14ac:dyDescent="0.3">
      <c r="A8" s="6" t="s">
        <v>405</v>
      </c>
      <c r="B8" s="26">
        <v>12</v>
      </c>
      <c r="C8" s="26">
        <v>9</v>
      </c>
      <c r="D8" s="26">
        <v>21</v>
      </c>
    </row>
    <row r="9" spans="1:10" x14ac:dyDescent="0.3">
      <c r="A9" s="6" t="s">
        <v>408</v>
      </c>
      <c r="B9" s="26">
        <v>13</v>
      </c>
      <c r="C9" s="26">
        <v>8</v>
      </c>
      <c r="D9" s="26">
        <v>21</v>
      </c>
    </row>
    <row r="10" spans="1:10" x14ac:dyDescent="0.3">
      <c r="A10" s="6" t="s">
        <v>407</v>
      </c>
      <c r="B10" s="26">
        <v>9</v>
      </c>
      <c r="C10" s="26">
        <v>9</v>
      </c>
      <c r="D10" s="26">
        <v>18</v>
      </c>
    </row>
    <row r="11" spans="1:10" x14ac:dyDescent="0.3">
      <c r="A11" s="6" t="s">
        <v>406</v>
      </c>
      <c r="B11" s="26">
        <v>8</v>
      </c>
      <c r="C11" s="26">
        <v>9</v>
      </c>
      <c r="D11" s="26">
        <v>17</v>
      </c>
    </row>
    <row r="12" spans="1:10" x14ac:dyDescent="0.3">
      <c r="A12" s="6" t="s">
        <v>397</v>
      </c>
      <c r="B12" s="26">
        <v>82</v>
      </c>
      <c r="C12" s="26">
        <v>68</v>
      </c>
      <c r="D12" s="26">
        <v>150</v>
      </c>
    </row>
    <row r="14" spans="1:10" x14ac:dyDescent="0.3">
      <c r="A14" s="5" t="s">
        <v>398</v>
      </c>
      <c r="B14" t="s">
        <v>412</v>
      </c>
      <c r="E14" s="5" t="s">
        <v>398</v>
      </c>
      <c r="F14" s="4" t="s">
        <v>413</v>
      </c>
      <c r="G14" t="s">
        <v>414</v>
      </c>
    </row>
    <row r="15" spans="1:10" x14ac:dyDescent="0.3">
      <c r="A15" s="6" t="s">
        <v>30</v>
      </c>
      <c r="B15" s="26">
        <v>8000</v>
      </c>
      <c r="E15" s="6" t="s">
        <v>30</v>
      </c>
      <c r="F15" s="4">
        <v>32.5</v>
      </c>
      <c r="G15" s="4">
        <v>8000</v>
      </c>
    </row>
    <row r="16" spans="1:10" x14ac:dyDescent="0.3">
      <c r="A16" s="6" t="s">
        <v>66</v>
      </c>
      <c r="B16" s="26">
        <v>9000</v>
      </c>
      <c r="E16" s="6" t="s">
        <v>66</v>
      </c>
      <c r="F16" s="4">
        <v>27.111111111111111</v>
      </c>
      <c r="G16" s="4">
        <v>9000</v>
      </c>
    </row>
    <row r="17" spans="1:7" x14ac:dyDescent="0.3">
      <c r="A17" s="6" t="s">
        <v>88</v>
      </c>
      <c r="B17" s="26">
        <v>5500</v>
      </c>
      <c r="E17" s="6" t="s">
        <v>88</v>
      </c>
      <c r="F17" s="4">
        <v>17.214285714285715</v>
      </c>
      <c r="G17" s="4">
        <v>5500</v>
      </c>
    </row>
    <row r="18" spans="1:7" x14ac:dyDescent="0.3">
      <c r="A18" s="6" t="s">
        <v>46</v>
      </c>
      <c r="B18" s="26">
        <v>9000</v>
      </c>
      <c r="E18" s="6" t="s">
        <v>46</v>
      </c>
      <c r="F18" s="4">
        <v>28.857142857142858</v>
      </c>
      <c r="G18" s="4">
        <v>9000</v>
      </c>
    </row>
    <row r="19" spans="1:7" x14ac:dyDescent="0.3">
      <c r="A19" s="6" t="s">
        <v>405</v>
      </c>
      <c r="B19" s="26">
        <v>8000</v>
      </c>
      <c r="E19" s="6" t="s">
        <v>405</v>
      </c>
      <c r="F19" s="4">
        <v>23.61904761904762</v>
      </c>
      <c r="G19" s="4">
        <v>8000</v>
      </c>
    </row>
    <row r="20" spans="1:7" x14ac:dyDescent="0.3">
      <c r="A20" s="6" t="s">
        <v>408</v>
      </c>
      <c r="B20" s="26">
        <v>9000</v>
      </c>
      <c r="E20" s="6" t="s">
        <v>408</v>
      </c>
      <c r="F20" s="4">
        <v>10.761904761904763</v>
      </c>
      <c r="G20" s="4">
        <v>9000</v>
      </c>
    </row>
    <row r="21" spans="1:7" x14ac:dyDescent="0.3">
      <c r="A21" s="6" t="s">
        <v>407</v>
      </c>
      <c r="B21" s="26">
        <v>7000</v>
      </c>
      <c r="E21" s="6" t="s">
        <v>407</v>
      </c>
      <c r="F21" s="4">
        <v>24</v>
      </c>
      <c r="G21" s="4">
        <v>7000</v>
      </c>
    </row>
    <row r="22" spans="1:7" x14ac:dyDescent="0.3">
      <c r="A22" s="6" t="s">
        <v>406</v>
      </c>
      <c r="B22" s="26">
        <v>5500</v>
      </c>
      <c r="E22" s="6" t="s">
        <v>406</v>
      </c>
      <c r="F22" s="4">
        <v>29.470588235294116</v>
      </c>
      <c r="G22" s="4">
        <v>5500</v>
      </c>
    </row>
    <row r="23" spans="1:7" x14ac:dyDescent="0.3">
      <c r="A23" s="6" t="s">
        <v>397</v>
      </c>
      <c r="B23" s="26">
        <v>61000</v>
      </c>
    </row>
    <row r="25" spans="1:7" x14ac:dyDescent="0.3">
      <c r="A25" s="5" t="s">
        <v>400</v>
      </c>
      <c r="B25" s="5" t="s">
        <v>409</v>
      </c>
    </row>
    <row r="26" spans="1:7" x14ac:dyDescent="0.3">
      <c r="A26" s="5" t="s">
        <v>398</v>
      </c>
      <c r="B26" t="s">
        <v>42</v>
      </c>
      <c r="C26" t="s">
        <v>24</v>
      </c>
    </row>
    <row r="27" spans="1:7" x14ac:dyDescent="0.3">
      <c r="A27" s="6" t="s">
        <v>37</v>
      </c>
      <c r="B27" s="26">
        <v>36</v>
      </c>
      <c r="C27" s="26">
        <v>34</v>
      </c>
    </row>
    <row r="28" spans="1:7" x14ac:dyDescent="0.3">
      <c r="A28" s="6" t="s">
        <v>47</v>
      </c>
      <c r="B28" s="26">
        <v>13</v>
      </c>
      <c r="C28" s="26">
        <v>8</v>
      </c>
    </row>
    <row r="29" spans="1:7" x14ac:dyDescent="0.3">
      <c r="A29" s="6" t="s">
        <v>23</v>
      </c>
      <c r="B29" s="26">
        <v>24</v>
      </c>
      <c r="C29" s="26">
        <v>17</v>
      </c>
    </row>
    <row r="30" spans="1:7" x14ac:dyDescent="0.3">
      <c r="A30" s="6" t="s">
        <v>79</v>
      </c>
      <c r="B30" s="26">
        <v>9</v>
      </c>
      <c r="C30" s="26">
        <v>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FF99-2F92-4B32-A59D-46072BB35811}">
  <sheetPr>
    <pageSetUpPr fitToPage="1"/>
  </sheetPr>
  <dimension ref="E1:S14"/>
  <sheetViews>
    <sheetView showGridLines="0" showRowColHeaders="0" zoomScaleNormal="100" zoomScaleSheetLayoutView="100" workbookViewId="0">
      <selection activeCell="H16" sqref="H16"/>
    </sheetView>
  </sheetViews>
  <sheetFormatPr defaultRowHeight="14.4" x14ac:dyDescent="0.3"/>
  <cols>
    <col min="24" max="26" width="0" hidden="1" customWidth="1"/>
  </cols>
  <sheetData>
    <row r="1" spans="5:19" x14ac:dyDescent="0.3">
      <c r="E1" s="11"/>
    </row>
    <row r="14" spans="5:19" x14ac:dyDescent="0.3">
      <c r="S14" s="4"/>
    </row>
  </sheetData>
  <pageMargins left="0" right="0" top="0" bottom="0" header="0" footer="0"/>
  <pageSetup scale="68"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82E2-7E2A-4E7D-922B-065AB1E7A811}">
  <sheetPr>
    <pageSetUpPr fitToPage="1"/>
  </sheetPr>
  <dimension ref="A1:L22"/>
  <sheetViews>
    <sheetView showGridLines="0" tabSelected="1" workbookViewId="0">
      <selection activeCell="L1" sqref="L1"/>
    </sheetView>
  </sheetViews>
  <sheetFormatPr defaultRowHeight="14.4" x14ac:dyDescent="0.3"/>
  <cols>
    <col min="1" max="1" width="21.6640625" customWidth="1"/>
    <col min="2" max="2" width="40.109375" style="16" customWidth="1"/>
    <col min="3" max="3" width="34.5546875" customWidth="1"/>
    <col min="4" max="4" width="31" customWidth="1"/>
  </cols>
  <sheetData>
    <row r="1" spans="1:12" ht="18" x14ac:dyDescent="0.35">
      <c r="A1" s="25" t="s">
        <v>415</v>
      </c>
      <c r="B1" s="25"/>
      <c r="C1" s="25"/>
      <c r="D1" s="25"/>
      <c r="E1" s="17"/>
      <c r="F1" s="17"/>
      <c r="G1" s="17"/>
      <c r="H1" s="17"/>
      <c r="I1" s="17"/>
      <c r="J1" s="17"/>
      <c r="K1" s="17"/>
      <c r="L1" s="17"/>
    </row>
    <row r="4" spans="1:12" x14ac:dyDescent="0.3">
      <c r="B4"/>
    </row>
    <row r="5" spans="1:12" x14ac:dyDescent="0.3">
      <c r="B5"/>
    </row>
    <row r="6" spans="1:12" x14ac:dyDescent="0.3">
      <c r="B6"/>
    </row>
    <row r="7" spans="1:12" x14ac:dyDescent="0.3">
      <c r="B7"/>
    </row>
    <row r="8" spans="1:12" ht="15.6" x14ac:dyDescent="0.3">
      <c r="A8" s="18" t="s">
        <v>401</v>
      </c>
      <c r="B8" s="19" t="s">
        <v>402</v>
      </c>
      <c r="C8" s="18" t="s">
        <v>416</v>
      </c>
      <c r="D8" s="18" t="s">
        <v>403</v>
      </c>
    </row>
    <row r="9" spans="1:12" ht="43.2" x14ac:dyDescent="0.3">
      <c r="A9" s="20" t="s">
        <v>417</v>
      </c>
      <c r="B9" s="20" t="s">
        <v>425</v>
      </c>
      <c r="C9" s="20" t="s">
        <v>420</v>
      </c>
      <c r="D9" s="21"/>
    </row>
    <row r="10" spans="1:12" x14ac:dyDescent="0.3">
      <c r="A10" s="20"/>
      <c r="B10" s="20"/>
      <c r="C10" s="20"/>
      <c r="D10" s="21"/>
    </row>
    <row r="11" spans="1:12" ht="57.6" x14ac:dyDescent="0.3">
      <c r="A11" s="20" t="s">
        <v>418</v>
      </c>
      <c r="B11" s="20" t="s">
        <v>421</v>
      </c>
      <c r="C11" s="20" t="s">
        <v>422</v>
      </c>
      <c r="D11" s="20" t="s">
        <v>426</v>
      </c>
    </row>
    <row r="12" spans="1:12" x14ac:dyDescent="0.3">
      <c r="A12" s="20"/>
      <c r="B12" s="20"/>
      <c r="C12" s="20"/>
      <c r="D12" s="21"/>
    </row>
    <row r="13" spans="1:12" ht="57.6" x14ac:dyDescent="0.3">
      <c r="A13" s="20" t="s">
        <v>419</v>
      </c>
      <c r="B13" s="20" t="s">
        <v>423</v>
      </c>
      <c r="C13" s="20" t="s">
        <v>424</v>
      </c>
      <c r="D13" s="20" t="s">
        <v>427</v>
      </c>
    </row>
    <row r="14" spans="1:12" x14ac:dyDescent="0.3">
      <c r="A14" s="20"/>
      <c r="B14" s="20"/>
      <c r="C14" s="20"/>
      <c r="D14" s="21"/>
    </row>
    <row r="15" spans="1:12" x14ac:dyDescent="0.3">
      <c r="B15"/>
    </row>
    <row r="17" spans="2:2" x14ac:dyDescent="0.3">
      <c r="B17"/>
    </row>
    <row r="18" spans="2:2" x14ac:dyDescent="0.3">
      <c r="B18"/>
    </row>
    <row r="19" spans="2:2" x14ac:dyDescent="0.3">
      <c r="B19"/>
    </row>
    <row r="20" spans="2:2" x14ac:dyDescent="0.3">
      <c r="B20"/>
    </row>
    <row r="21" spans="2:2" x14ac:dyDescent="0.3">
      <c r="B21"/>
    </row>
    <row r="22" spans="2:2" x14ac:dyDescent="0.3">
      <c r="B22"/>
    </row>
  </sheetData>
  <mergeCells count="1">
    <mergeCell ref="A1:D1"/>
  </mergeCells>
  <pageMargins left="0.7" right="0.7" top="0.75" bottom="0.75" header="0.3" footer="0.3"/>
  <pageSetup paperSize="9" scale="4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vt:lpstr>
      <vt:lpstr>Clean_data</vt:lpstr>
      <vt:lpstr>Analysis</vt:lpstr>
      <vt:lpstr>Pivot_sheet </vt:lpstr>
      <vt:lpstr>Dashboard</vt:lpstr>
      <vt:lpstr>Insights &amp; Strategy</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Kumar</dc:creator>
  <cp:lastModifiedBy>amanpreetkaur48475@gmail.com</cp:lastModifiedBy>
  <cp:lastPrinted>2026-03-03T03:34:07Z</cp:lastPrinted>
  <dcterms:created xsi:type="dcterms:W3CDTF">2026-02-27T13:59:43Z</dcterms:created>
  <dcterms:modified xsi:type="dcterms:W3CDTF">2026-03-03T04:05:51Z</dcterms:modified>
</cp:coreProperties>
</file>